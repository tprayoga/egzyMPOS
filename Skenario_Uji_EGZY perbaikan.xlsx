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njuk" sheetId="1" r:id="rId4"/>
    <sheet state="visible" name="Akun Uji" sheetId="2" r:id="rId5"/>
    <sheet state="visible" name="Ringkasan" sheetId="3" r:id="rId6"/>
    <sheet state="visible" name="Skenario Uji" sheetId="4" r:id="rId7"/>
    <sheet state="visible" name="Rekonsiliasi WP" sheetId="5" r:id="rId8"/>
    <sheet state="visible" name="Temuan Awal" sheetId="6" r:id="rId9"/>
    <sheet state="visible" name="Perbaikan desain" sheetId="7" r:id="rId10"/>
  </sheets>
  <definedNames>
    <definedName hidden="1" localSheetId="3" name="_xlnm._FilterDatabase">'Skenario Uji'!$A$1:$O$55</definedName>
  </definedNames>
  <calcPr fullCalcOnLoad="1"/>
  <extLst>
    <ext uri="GoogleSheetsCustomDataVersion2">
      <go:sheetsCustomData xmlns:go="http://customooxmlschemas.google.com/" r:id="rId11" roundtripDataChecksum="y45Ix5xJ7AgfNPoAUf7DQItAvX7E2AqszvmZPMec1JI="/>
    </ext>
  </extLst>
</workbook>
</file>

<file path=xl/sharedStrings.xml><?xml version="1.0" encoding="utf-8"?>
<sst xmlns="http://schemas.openxmlformats.org/spreadsheetml/2006/main" count="1021" uniqueCount="577">
  <si>
    <t>Skenario Uji Aplikasi EGZY</t>
  </si>
  <si>
    <t>Urutan pengujian mengikuti alur data: data master, lalu transaksi, lalu laporan. Kerjakan dari atas ke bawah di lembar Skenario Uji.</t>
  </si>
  <si>
    <t>Kolom yang Anda isi berwarna kuning: Hasil aktual, Status, Catatan, Tanggal uji, Penguji.</t>
  </si>
  <si>
    <t>Status dipilih dari daftar: Lulus, Gagal, Diblokir, Belum diuji. Diblokir berarti tidak bisa diuji karena skenario prasyaratnya gagal.</t>
  </si>
  <si>
    <t>Lembar Ringkasan menghitung otomatis dari kolom Status.</t>
  </si>
  <si>
    <t>Baris TC-038 (menu Records) sudah diisi sebagai contoh cara mengisi, berdasarkan error 500 yang terlihat di screenshot.</t>
  </si>
  <si>
    <t>Data uji hanyalah saran; ganti sesuai kebutuhan. Hasil yang diharapkan disusun dari tampilan form di screenshot, jadi sesuaikan bila perilaku aplikasi yang benar ternyata berbeda.</t>
  </si>
  <si>
    <t>Lembar Temuan Awal berisi hal-hal yang sudah terlihat di screenshot sebelum pengujian dimulai.</t>
  </si>
  <si>
    <t>Lembar Rekonsiliasi WP berisi 11 skenario untuk dashboard Bapenda, satu per peran WP contoh; diisi dengan cara yang sama dan dihitung terpisah di Ringkasan.</t>
  </si>
  <si>
    <t>Lembar Akun Uji memuat akun dan kata sandi lingkungan demo; kolom Akun uji di tiap skenario menunjukkan akun yang dipakai. TC-051 sampai TC-053 menguji isolasi antar-tenant.</t>
  </si>
  <si>
    <t>Pembaruan 9 Okt 2026 (pengembang): kolom "Tindak lanjut pengembang" dan "Status perbaikan" ditambahkan di lembar Skenario Uji, Rekonsiliasi WP, dan Perbaikan desain; kolom Status perbaikan di Temuan Awal diisi. Kolom isian penguji tidak diubah. Baris "Diperbaiki – uji ulang" perlu diuji ulang setelah rilis 9 Okt 2026 di-deploy ke server.</t>
  </si>
  <si>
    <t>Email</t>
  </si>
  <si>
    <t>Peran</t>
  </si>
  <si>
    <t>Kata sandi</t>
  </si>
  <si>
    <t>Dipakai untuk</t>
  </si>
  <si>
    <t>bapenda@egzy.test</t>
  </si>
  <si>
    <t>Bapenda: semua WP, temuan, tagihan, kelola tenant</t>
  </si>
  <si>
    <t>Demo#2026</t>
  </si>
  <si>
    <t>Lembar Rekonsiliasi WP (RK-01 sampai RK-11); Pengawasan PBJT (TC-046, TC-047)</t>
  </si>
  <si>
    <t>melati@egzy.test</t>
  </si>
  <si>
    <t>Admin tenant Melati</t>
  </si>
  <si>
    <t>Alur hotel dan modul umum; uji isolasi tenant (TC-051, TC-052)</t>
  </si>
  <si>
    <t>serena@egzy.test</t>
  </si>
  <si>
    <t>Admin tenant Serena</t>
  </si>
  <si>
    <t>Sisi WP dari kasus kurang lapor (RK-04)</t>
  </si>
  <si>
    <t>villa@egzy.test</t>
  </si>
  <si>
    <t>Admin tenant Villa Asri</t>
  </si>
  <si>
    <t>Tenant baru: kamar ada, belum ada tagihan (RK-09)</t>
  </si>
  <si>
    <t>cempaka@egzy.test</t>
  </si>
  <si>
    <t>Admin tenant Cempaka</t>
  </si>
  <si>
    <t>Sisi WP dari kasus telat bayar (RK-08)</t>
  </si>
  <si>
    <t>bahari@egzy.test</t>
  </si>
  <si>
    <t>Admin tenant Bahari (restoran POS)</t>
  </si>
  <si>
    <t>Alur restoran, stok, dan uji role kasir (TC-025 sampai TC-036, TC-048)</t>
  </si>
  <si>
    <t>nirwana@egzy.test</t>
  </si>
  <si>
    <t>Admin tenant Nirwana</t>
  </si>
  <si>
    <t>WP patuh dan pembayaran VA BNI (RK-03, RK-11)</t>
  </si>
  <si>
    <t>tamu1.wp001@egzy.test dst.</t>
  </si>
  <si>
    <t>Tamu website</t>
  </si>
  <si>
    <t>Booking dari website (TC-053)</t>
  </si>
  <si>
    <t>Sumber: pesan pengembang. Kata sandi sama untuk semua akun dan hanya berlaku di lingkungan demo. Kolom Dipakai untuk adalah saran pembagian, bukan ketentuan dari pengembang.</t>
  </si>
  <si>
    <t>Modul</t>
  </si>
  <si>
    <t>Jumlah skenario</t>
  </si>
  <si>
    <t>Lulus</t>
  </si>
  <si>
    <t>Gagal</t>
  </si>
  <si>
    <t>Diblokir</t>
  </si>
  <si>
    <t>Belum diuji</t>
  </si>
  <si>
    <t>% selesai</t>
  </si>
  <si>
    <t>Pengaturan dasar</t>
  </si>
  <si>
    <t>Human Resource</t>
  </si>
  <si>
    <t>Duty Roster</t>
  </si>
  <si>
    <t>Kamar</t>
  </si>
  <si>
    <t>Reservasi</t>
  </si>
  <si>
    <t>Restoran</t>
  </si>
  <si>
    <t>Stok dan pembelian</t>
  </si>
  <si>
    <t>House Keeping</t>
  </si>
  <si>
    <t>Transport</t>
  </si>
  <si>
    <t>Car Parking</t>
  </si>
  <si>
    <t>Hall Room</t>
  </si>
  <si>
    <t>Laporan dan akun</t>
  </si>
  <si>
    <t>Pengawasan PBJT</t>
  </si>
  <si>
    <t>Pengguna</t>
  </si>
  <si>
    <t>Tampilan</t>
  </si>
  <si>
    <t>Total</t>
  </si>
  <si>
    <t>Rekonsiliasi WP</t>
  </si>
  <si>
    <t>Status perbaikan (pengembang)</t>
  </si>
  <si>
    <t>Skenario Uji</t>
  </si>
  <si>
    <t>Diperbaiki – uji ulang</t>
  </si>
  <si>
    <t>Perlu ubah skenario</t>
  </si>
  <si>
    <t>Tidak ada perubahan</t>
  </si>
  <si>
    <t>ID</t>
  </si>
  <si>
    <t>Skenario</t>
  </si>
  <si>
    <t>Prasyarat</t>
  </si>
  <si>
    <t>Langkah</t>
  </si>
  <si>
    <t>Data uji</t>
  </si>
  <si>
    <t>Hasil yang diharapkan</t>
  </si>
  <si>
    <t>Hasil aktual</t>
  </si>
  <si>
    <t>Status</t>
  </si>
  <si>
    <t>Catatan</t>
  </si>
  <si>
    <t>Tanggal uji</t>
  </si>
  <si>
    <t>Penguji</t>
  </si>
  <si>
    <t>Akun uji</t>
  </si>
  <si>
    <t>Tindak lanjut pengembang (9 Okt 2026)</t>
  </si>
  <si>
    <t>Status perbaikan</t>
  </si>
  <si>
    <t>TC-001</t>
  </si>
  <si>
    <t>Tambah payment method</t>
  </si>
  <si>
    <t>Login sebagai Administrator</t>
  </si>
  <si>
    <t>Payment Setting &gt; Payment method list &gt; tambah data &gt; simpan</t>
  </si>
  <si>
    <t>Nama: Tunai</t>
  </si>
  <si>
    <t>Data tampil di daftar dan bisa dipilih saat pembayaran</t>
  </si>
  <si>
    <r>
      <rPr>
        <rFont val="Arial"/>
        <b/>
        <color theme="1"/>
        <sz val="10.0"/>
      </rPr>
      <t>Belum ada button untuk tambah Payment,</t>
    </r>
    <r>
      <rPr>
        <rFont val="Arial"/>
        <color theme="1"/>
        <sz val="10.0"/>
      </rPr>
      <t xml:space="preserve"> edit payment bisa, active/inactive payment methode bisa</t>
    </r>
  </si>
  <si>
    <r>
      <rPr>
        <rFont val="Arial"/>
        <color theme="1"/>
        <sz val="10.0"/>
      </rPr>
      <t xml:space="preserve">Tambahkan button </t>
    </r>
    <r>
      <rPr>
        <rFont val="Arial"/>
        <b/>
        <color theme="1"/>
        <sz val="10.0"/>
      </rPr>
      <t>add payment</t>
    </r>
  </si>
  <si>
    <t>FERI</t>
  </si>
  <si>
    <t>Tombol "Add New" ditambahkan di Payment method list (modal tambah sudah ada, tombolnya hilang). Simpan gagal validasi tidak lagi membuka halaman rusak. Berlaku di server setelah rilis 9 Okt 2026 di-deploy.</t>
  </si>
  <si>
    <t>TC-002</t>
  </si>
  <si>
    <t>Tambah pajak</t>
  </si>
  <si>
    <t>-</t>
  </si>
  <si>
    <t>Tax Management &gt; Tax list &gt; Add New &gt; isi &gt; Add</t>
  </si>
  <si>
    <t>Tax Name: PBJT Hotel; Rate: 10; Reg No: 001; Is Active: ya</t>
  </si>
  <si>
    <t>Pajak tampil di Tax list dengan status aktif</t>
  </si>
  <si>
    <t>Sudah sesuai</t>
  </si>
  <si>
    <t>Tax Management kini MENOLAK entri pajak daerah (PBJT/PB1/pajak hotel/restoran): PBJT dihitung otomatis oleh sistem dengan tarif ketetapan Pemda (10%). Ganti data uji dengan komponen non-PBJT, mis. "Service Charge 5%"; tambahkan langkah: coba "PBJT Hotel" -&gt; harus ditolak. Berlaku di server setelah rilis 9 Okt 2026 di-deploy.</t>
  </si>
  <si>
    <t>TC-003</t>
  </si>
  <si>
    <t>Tambah counter</t>
  </si>
  <si>
    <t>Day Closing &gt; Counterlist &gt; isi Counter No &gt; Add Counter</t>
  </si>
  <si>
    <t>Counter No: 2</t>
  </si>
  <si>
    <t>Counter 2 tampil di daftar dan muncul di pop-up Start Cash Register</t>
  </si>
  <si>
    <t/>
  </si>
  <si>
    <t>TC-004</t>
  </si>
  <si>
    <t>Validasi kolom wajib</t>
  </si>
  <si>
    <t>Buka form Tax list &gt; Add New &gt; klik Add tanpa mengisi</t>
  </si>
  <si>
    <t>Semua kolom kosong</t>
  </si>
  <si>
    <t>Muncul pesan kolom wajib; data tidak tersimpan</t>
  </si>
  <si>
    <t>TC-005</t>
  </si>
  <si>
    <t>Tambah department dan division</t>
  </si>
  <si>
    <t>Department &gt; Department list &gt; tambah; lalu Add division</t>
  </si>
  <si>
    <t>Department: Front Office; Division: Resepsionis</t>
  </si>
  <si>
    <t>Keduanya tampil di daftar; division terhubung ke department</t>
  </si>
  <si>
    <t xml:space="preserve">Sudah sesuai </t>
  </si>
  <si>
    <t>TC-006</t>
  </si>
  <si>
    <t>Tambah position</t>
  </si>
  <si>
    <t>Employee &gt; Position &gt; tambah</t>
  </si>
  <si>
    <t>Position: Resepsionis</t>
  </si>
  <si>
    <t>Position tampil dan bisa dipilih di Add employee</t>
  </si>
  <si>
    <t>TC-007</t>
  </si>
  <si>
    <t>Tambah pegawai</t>
  </si>
  <si>
    <t>Department, division, position sudah ada</t>
  </si>
  <si>
    <t>Employee &gt; Add employee &gt; isi &gt; simpan</t>
  </si>
  <si>
    <t>Nama: Budi Santoso; Position: Resepsionis</t>
  </si>
  <si>
    <t>Pegawai tampil di Manage employee</t>
  </si>
  <si>
    <t>Label SSN diganti NIK (maks. 16 digit). Datepicker tanggal di form pegawai tidak lagi "Invalid date" (lihat TC-029). Berlaku di server setelah rilis 9 Okt 2026 di-deploy.</t>
  </si>
  <si>
    <t>TC-008</t>
  </si>
  <si>
    <t>Catat kehadiran</t>
  </si>
  <si>
    <t>Pegawai sudah ada</t>
  </si>
  <si>
    <t>Attendance &gt; Attendance &gt; pilih pegawai &gt; isi jam masuk/keluar</t>
  </si>
  <si>
    <t>Budi Santoso; 08:00 - 16:00</t>
  </si>
  <si>
    <t>Kehadiran tersimpan dan muncul di Attendance reports</t>
  </si>
  <si>
    <t>TC-009</t>
  </si>
  <si>
    <t>Pengajuan cuti</t>
  </si>
  <si>
    <t>Leave type sudah ada</t>
  </si>
  <si>
    <t>Leave &gt; Add leave type; lalu Leave application &gt; isi &gt; simpan</t>
  </si>
  <si>
    <t>Tipe: Cuti Tahunan; 2 hari</t>
  </si>
  <si>
    <t>Pengajuan tampil di daftar dengan jumlah hari benar</t>
  </si>
  <si>
    <t>TC-010</t>
  </si>
  <si>
    <t>Pinjaman pegawai</t>
  </si>
  <si>
    <t>Loan &gt; Grant loan &gt; isi; lalu Loan installment</t>
  </si>
  <si>
    <t>Pinjaman: 1.000.000; cicilan 2x</t>
  </si>
  <si>
    <t>Pinjaman dan cicilan tampil; Loan report menunjukkan sisa yang benar</t>
  </si>
  <si>
    <t>TC-011</t>
  </si>
  <si>
    <t>Generate gaji</t>
  </si>
  <si>
    <t>Salary type dan salary setup sudah ada</t>
  </si>
  <si>
    <t>Payroll &gt; Salary type setup &gt; Salary setup &gt; Salary generate</t>
  </si>
  <si>
    <t>Gaji pokok: 4.000.000; periode bulan berjalan</t>
  </si>
  <si>
    <t>Gaji ter-generate; potongan pinjaman ikut terhitung</t>
  </si>
  <si>
    <t>TC-012</t>
  </si>
  <si>
    <t>Buat shift dan roster</t>
  </si>
  <si>
    <t>Shift list &gt; Add Shift; Roster list &gt; Create Roster; Roster assign</t>
  </si>
  <si>
    <t>Shift Pagi 07:00-15:00; roster 7 hari</t>
  </si>
  <si>
    <t>Pegawai tampil di Assigned Employee List dan Attendance dashboard</t>
  </si>
  <si>
    <t>TC-013</t>
  </si>
  <si>
    <t>Tambah fasilitas dan ukuran kamar</t>
  </si>
  <si>
    <t>Room Facilities &gt; Facility list, Facility details list, Room size list &gt; tambah</t>
  </si>
  <si>
    <t>Fasilitas: AC; Ukuran: 24 m2</t>
  </si>
  <si>
    <t>Data tampil dan bisa dipilih di form Room list</t>
  </si>
  <si>
    <t>Gambar kamar tidak muncul</t>
  </si>
  <si>
    <t>Catatan penguji (detail ukuran tidak ada) belum ditindaklanjuti; perlu klarifikasi perilaku yang diharapkan.</t>
  </si>
  <si>
    <t>TC-014</t>
  </si>
  <si>
    <t>Tambah tipe kamar</t>
  </si>
  <si>
    <t>Bed list dan room size sudah ada</t>
  </si>
  <si>
    <t>Room Setting &gt; Room list &gt; Add New &gt; isi &gt; Add</t>
  </si>
  <si>
    <t>Room Type: Deluxe; Capacity: 2; Rate: 500.000; Bed: King Bed</t>
  </si>
  <si>
    <t>Tipe kamar tampil di Room list dengan tarif benar</t>
  </si>
  <si>
    <t>TC-015</t>
  </si>
  <si>
    <t>Atur lantai dan nomor kamar</t>
  </si>
  <si>
    <t>Tipe kamar sudah ada</t>
  </si>
  <si>
    <t>Room Setting &gt; Floor plan list &gt; Add Floor &gt; Assign Floor</t>
  </si>
  <si>
    <t>Lantai 1; Start Room No: 101; No of Room: 5</t>
  </si>
  <si>
    <t>Kamar 101-105 terbentuk dan tampil di Room status</t>
  </si>
  <si>
    <t>TC-016</t>
  </si>
  <si>
    <t>Booking type dan booking source</t>
  </si>
  <si>
    <t>Room Setting &gt; Booking type list &gt; Add New; Booking source &gt; Add New</t>
  </si>
  <si>
    <t>Type: Online; Source: Traveloka; Commission: 10</t>
  </si>
  <si>
    <t>Keduanya tampil; source terhubung ke type</t>
  </si>
  <si>
    <t>TC-017</t>
  </si>
  <si>
    <t>Promocode</t>
  </si>
  <si>
    <t>Room Setting &gt; Promocode &gt; New Promocode &gt; isi &gt; Add</t>
  </si>
  <si>
    <t>Deluxe; kode HEMAT10; Discount: 10; periode 7 hari</t>
  </si>
  <si>
    <t>Promocode tampil aktif dan memotong harga saat booking</t>
  </si>
  <si>
    <t>TC-018</t>
  </si>
  <si>
    <t>Room QR list</t>
  </si>
  <si>
    <t>Kamar sudah ada</t>
  </si>
  <si>
    <t>House Keeping &gt; Room QR list</t>
  </si>
  <si>
    <t>QR tampil untuk setiap kamar (saat ini halaman kosong)</t>
  </si>
  <si>
    <t>https://drive.google.com/file/d/1m4NQ6H8itiwmXEv0_IkvlGX0VaXEPOO3/view?usp=drive_link</t>
  </si>
  <si>
    <t>Penyebab: QR memakai layanan Google Chart yang sudah dimatikan Google. QR kini dibuat di server (library lokal); gambar tampil untuk semua kamar, juga di cetakan. Berlaku di server setelah rilis 9 Okt 2026 di-deploy.</t>
  </si>
  <si>
    <t>TC-019</t>
  </si>
  <si>
    <t>Tambah customer</t>
  </si>
  <si>
    <t>Customer &gt; Customer list &gt; tambah</t>
  </si>
  <si>
    <t>Nama: Siti Aminah; HP: 0812xxxxxxx</t>
  </si>
  <si>
    <t>Customer tampil di Customer list</t>
  </si>
  <si>
    <t>https://drive.google.com/file/d/1BupoCFgw8RShkFJwKS16niLb9vdaazU-/view?usp=sharing</t>
  </si>
  <si>
    <t>Penyebab: cek "nomor HP harus unik" berjalan saat form baru dibuka (HP kosong cocok dengan customer lama tanpa HP) sehingga form ditolak. Kini hanya dicek bila HP diisi. Berlaku di server setelah rilis 9 Okt 2026 di-deploy.</t>
  </si>
  <si>
    <t>TC-020</t>
  </si>
  <si>
    <t>Buat booking kamar</t>
  </si>
  <si>
    <t>Customer dan kamar sudah ada</t>
  </si>
  <si>
    <t>Room Reservation &gt; Booking list &gt; tambah booking &gt; simpan</t>
  </si>
  <si>
    <t>Siti Aminah; Deluxe 101; 2 malam</t>
  </si>
  <si>
    <t>Booking tampil; total = 2 x tarif + pajak; kamar 101 berstatus terpesan</t>
  </si>
  <si>
    <r>
      <rPr>
        <rFont val="Arial"/>
        <color theme="1"/>
        <sz val="10.0"/>
      </rPr>
      <t>setelah isi form kemudian disimpan data tidak muncul di tabel</t>
    </r>
    <r>
      <rPr>
        <rFont val="Arial"/>
        <b/>
        <color theme="1"/>
        <sz val="10.0"/>
      </rPr>
      <t xml:space="preserve"> (DATA MASIH BELUM MUNCUL DI TABEL SETELAH DI ADD BOOKING)</t>
    </r>
  </si>
  <si>
    <t>https://drive.google.com/file/d/1wVlvJMaypcEjSD-nRL3DRFdfSxpuGCrc/view?usp=drive_link</t>
  </si>
  <si>
    <t>Penyebab: tabel tahun buku kosong di semua database, sehingga simpan booking ditolak ("Please Create Financial Year First") dan pemilih tanggal rusak. Tahun buku 2026 dibuat otomatis (migrasi 006); tenant baru otomatis mendapat tahun berjalan. Booking list kini punya filter status (Pending/Check In/Checkout/Batal/Semua). Diverifikasi di salinan lokal: booking tersimpan dan tampil. Berlaku di server setelah rilis 9 Okt 2026 di-deploy.</t>
  </si>
  <si>
    <t>TC-021</t>
  </si>
  <si>
    <t>Check in</t>
  </si>
  <si>
    <t>Booking sudah ada</t>
  </si>
  <si>
    <t>Room Reservation &gt; Check in &gt; pilih booking &gt; proses</t>
  </si>
  <si>
    <t>Booking Siti Aminah</t>
  </si>
  <si>
    <t>Status menjadi check in; tampil di Guest list</t>
  </si>
  <si>
    <t>data tidak muncul di tabel</t>
  </si>
  <si>
    <t>Terblokir penyebab yang sama dengan TC-020 (booking tak bisa dibuat). Pencarian di Check-in list juga diperbaiki (dulu selalu error). Berlaku di server setelah rilis 9 Okt 2026 di-deploy.</t>
  </si>
  <si>
    <t>TC-022</t>
  </si>
  <si>
    <t>Check out dan invoice</t>
  </si>
  <si>
    <t>Tamu sudah check in</t>
  </si>
  <si>
    <t>Room Reservation &gt; Check out &gt; proses pembayaran; buka Customer Invoice</t>
  </si>
  <si>
    <t>Bayar tunai penuh</t>
  </si>
  <si>
    <t>Invoice terbit; sisa tagihan 0; kamar kembali tersedia</t>
  </si>
  <si>
    <t>https://drive.google.com/file/d/1S8Y9PQ_bEK_qa2Ip9yD85X_-BRb8d4rp/view?usp=drive_link</t>
  </si>
  <si>
    <t>Terblokir penyebab yang sama dengan TC-020. Catatan perhitungan: harga kamar = per malam termasuk PBJT; tagihan = harga per malam x jumlah malam. Berlaku di server setelah rilis 9 Okt 2026 di-deploy.</t>
  </si>
  <si>
    <t>TC-023</t>
  </si>
  <si>
    <t>Booking ganda kamar yang sama</t>
  </si>
  <si>
    <t>Kamar 101 sudah dibooking</t>
  </si>
  <si>
    <t>Buat booking kedua untuk kamar dan tanggal yang sama</t>
  </si>
  <si>
    <t>Deluxe 101; tanggal sama</t>
  </si>
  <si>
    <t>Sistem menolak atau kamar tidak bisa dipilih</t>
  </si>
  <si>
    <t>setelah isi form kemudian disimpan data tidak muncul di tabel</t>
  </si>
  <si>
    <t>Diverifikasi di salinan lokal: booking kedua kamar &amp; tanggal yang sama ditolak "Room No ... is not available". Berlaku di server setelah rilis 9 Okt 2026 di-deploy.</t>
  </si>
  <si>
    <t>TC-024</t>
  </si>
  <si>
    <t>Wake up call</t>
  </si>
  <si>
    <t>Customer &gt; Wake up call list &gt; tambah</t>
  </si>
  <si>
    <t>Kamar 101; 05:00</t>
  </si>
  <si>
    <t>Data tampil di Wake up call list</t>
  </si>
  <si>
    <t>TC-025</t>
  </si>
  <si>
    <t>Tambah kategori dan makanan</t>
  </si>
  <si>
    <t>Manage category &gt; Add category; Manage food &gt; Add food</t>
  </si>
  <si>
    <t>Kategori: Makanan Utama; Food: Nasi Goreng; VAT: 10%</t>
  </si>
  <si>
    <t>Makanan tampil di Food list dan di POS</t>
  </si>
  <si>
    <t>gambar makanan tidak muncul</t>
  </si>
  <si>
    <t>https://drive.google.com/file/d/1jiV3j2Ihq1rhHz7l3GeJb_LLxo9egCi-/view?usp=sharing</t>
  </si>
  <si>
    <t>Syarah</t>
  </si>
  <si>
    <t>Penyebab di server: folder upload gambar menu tidak bisa ditulis web server, upload gagal tanpa pesan. Skrip deploy kini memberi izin tulis (PHP dimatikan di folder itu); aplikasi menampilkan pesan bila upload gagal. Di lokal upload + 3 thumbnail tampil normal. Berlaku di server setelah rilis 9 Okt 2026 di-deploy.</t>
  </si>
  <si>
    <t>TC-026</t>
  </si>
  <si>
    <t>Tambah add-ons dan assign</t>
  </si>
  <si>
    <t>Makanan sudah ada</t>
  </si>
  <si>
    <t>Add-ons &gt; Add add-ons; Add-ons assign list &gt; Add-ons Assign</t>
  </si>
  <si>
    <t>Add-ons: Telur; Price: 5.000; ke Nasi Goreng</t>
  </si>
  <si>
    <t>Add-ons tampil saat memesan Nasi Goreng di POS</t>
  </si>
  <si>
    <t>Sesuai</t>
  </si>
  <si>
    <t>TC-027</t>
  </si>
  <si>
    <t>Tambah meja</t>
  </si>
  <si>
    <t>Manage table &gt; Table list &gt; Add Floor &gt; Add Table</t>
  </si>
  <si>
    <t>Lantai 1; Meja 1; Capacity: 4</t>
  </si>
  <si>
    <t>Meja tampil di Table list</t>
  </si>
  <si>
    <t>TC-028</t>
  </si>
  <si>
    <t>Start Cash Register</t>
  </si>
  <si>
    <t>Counter sudah ada</t>
  </si>
  <si>
    <t>Buka POS invoice &gt; isi pop-up Start Cash Register</t>
  </si>
  <si>
    <t>Counter 1; saldo awal 500.000</t>
  </si>
  <si>
    <t>Kasir terbuka; pop-up tidak muncul lagi di halaman lain</t>
  </si>
  <si>
    <t>TC-029</t>
  </si>
  <si>
    <t>Buat order di POS</t>
  </si>
  <si>
    <t>Kasir terbuka; makanan dan meja ada</t>
  </si>
  <si>
    <t>POS invoice &gt; pilih makanan, meja, waiter &gt; Place Order</t>
  </si>
  <si>
    <t>Nasi Goreng x2; Meja 1</t>
  </si>
  <si>
    <t>Order masuk ke Order list dan Pending order; total termasuk pajak benar</t>
  </si>
  <si>
    <t>nama waiter tidak muncul</t>
  </si>
  <si>
    <t>https://drive.google.com/file/d/18j3OG2Gt0ZtSzZ_oISonBGPSe7L3zS8H/view?usp=sharing</t>
  </si>
  <si>
    <t>Error "hire date" = datepicker "Invalid date" karena tahun buku kosong (migrasi 006). Posisi Waiter/House Keeper/Driver buatan pengguna kini dikenali (dulu hanya ID bawaan). Label pajak POS kini "PBJT (10%)". Berlaku di server setelah rilis 9 Okt 2026 di-deploy.</t>
  </si>
  <si>
    <t>TC-030</t>
  </si>
  <si>
    <t>Selesaikan dan bayar order</t>
  </si>
  <si>
    <t>Order pending ada</t>
  </si>
  <si>
    <t>Pending order &gt; proses pembayaran</t>
  </si>
  <si>
    <t>Bayar tunai</t>
  </si>
  <si>
    <t>Order pindah ke Complete order; Counter dashboard terbarui</t>
  </si>
  <si>
    <t>POS kini menghitung PBJT dari engine PBJT: total = subtotal - diskon + service charge + PBJT 10% (harga menu belum termasuk PBJT). Periksa nilai total/struk. Berlaku di server setelah rilis 9 Okt 2026 di-deploy.</t>
  </si>
  <si>
    <t>TC-031</t>
  </si>
  <si>
    <t>Batalkan order</t>
  </si>
  <si>
    <t>Batalkan salah satu order</t>
  </si>
  <si>
    <t>Alasan: salah pesan</t>
  </si>
  <si>
    <t>Order pindah ke Cancel order; tidak masuk pendapatan</t>
  </si>
  <si>
    <t>TC-032</t>
  </si>
  <si>
    <t>Day closing</t>
  </si>
  <si>
    <t>Ada transaksi hari ini</t>
  </si>
  <si>
    <t>Day Closing &gt; Report &gt; pilih tanggal, kasir, counter &gt; Search</t>
  </si>
  <si>
    <t>Tanggal hari ini; Counter 1</t>
  </si>
  <si>
    <t>Total sama dengan jumlah order selesai; Print Date sesuai jam setempat</t>
  </si>
  <si>
    <t>Penyebab selisih jam: laporan memaksa zona waktu Asia/Dhaka (UTC+6) dan format 12 jam. Kini memakai zona waktu tenant (WIB) dan format 24 jam; zona waktu WIB juga diterapkan untuk seluruh aplikasi. Berlaku di server setelah rilis 9 Okt 2026 di-deploy.</t>
  </si>
  <si>
    <t>TC-033</t>
  </si>
  <si>
    <t>Tambah unit, kategori, produk, supplier</t>
  </si>
  <si>
    <t>Unit and Products &gt; Unit measurement list, Category list, Products list, Supplier list &gt; tambah</t>
  </si>
  <si>
    <t>Unit: Kilogram; Produk: Beras; Supplier: CV Sumber Pangan</t>
  </si>
  <si>
    <t>Semua tampil dan bisa dipilih di form pembelian</t>
  </si>
  <si>
    <t>TC-034</t>
  </si>
  <si>
    <t>Tambah pembelian</t>
  </si>
  <si>
    <t>Produk dan supplier sudah ada</t>
  </si>
  <si>
    <t>Purchase Manage &gt; Add purchase &gt; isi &gt; simpan</t>
  </si>
  <si>
    <t>Beras 50 kg @12.000</t>
  </si>
  <si>
    <t>Tampil di Purchase item; Stock report bertambah 50; Purchase report 600.000</t>
  </si>
  <si>
    <t>TC-035</t>
  </si>
  <si>
    <t>Retur pembelian</t>
  </si>
  <si>
    <t>Pembelian sudah ada</t>
  </si>
  <si>
    <t>Purchase Manage &gt; Purchase return &gt; pilih invoice &gt; retur</t>
  </si>
  <si>
    <t>Beras 2 kg; Comments: basah</t>
  </si>
  <si>
    <t>Tampil di Return invoice; stok menjadi 45</t>
  </si>
  <si>
    <t>Penyebab: pemilih tanggal retur "Invalid date" karena tahun buku kosong, menutupi form. Diperbaiki bersama TC-020 (migrasi 006 + datepicker). Berlaku di server setelah rilis 9 Okt 2026 di-deploy.</t>
  </si>
  <si>
    <t>TC-036</t>
  </si>
  <si>
    <t>Produk rusak</t>
  </si>
  <si>
    <t>Stok tersedia</t>
  </si>
  <si>
    <t>Unit and Products &gt; Destroyed list &gt; Add Product</t>
  </si>
  <si>
    <t>Tampil di Destroyed list; stok berkurang 2</t>
  </si>
  <si>
    <t>Destroy list tampil tapi stock tidak berkurang 2</t>
  </si>
  <si>
    <t>https://drive.google.com/file/d/113JBeBqUuAgHNqXsYGk4hcb7CuCUrZAZ/view?usp=sharing</t>
  </si>
  <si>
    <t>TC-037</t>
  </si>
  <si>
    <t>Tugaskan dan selesaikan pembersihan</t>
  </si>
  <si>
    <t>Pegawai dan kamar sudah ada</t>
  </si>
  <si>
    <t>Assign room cleaning &gt; pilih house keeper, kamar &gt; Add; lalu Room cleaning &gt; ubah status</t>
  </si>
  <si>
    <t>House keeper: Budi; kamar 101</t>
  </si>
  <si>
    <t>Tugas tampil di Room cleaning; Reports menunjukkan Complete 1</t>
  </si>
  <si>
    <t>DATA MASIH BELUM MUNCUL PADAHAL SUDAH DI ASSIGN</t>
  </si>
  <si>
    <t>https://drive.google.com/file/d/1m2ktRpR-E2n_0d7o-tFI40V4MWkvKqw4/view?usp=drive_link</t>
  </si>
  <si>
    <t>Penyebab: daftar house keeper hanya membaca posisi ID 6; posisi "Housekeeper" buatan pengguna tidak terbaca. Kini posisi bernama sama ikut. Prasyarat: pegawai harus terjadwal di Duty Roster saat ini (halaman kini memberi petunjuk). Berlaku di server setelah rilis 9 Okt 2026 di-deploy.</t>
  </si>
  <si>
    <t>TC-038</t>
  </si>
  <si>
    <t>Buka menu Records</t>
  </si>
  <si>
    <t>House Keeping &gt; Records</t>
  </si>
  <si>
    <t>Halaman terbuka tanpa error</t>
  </si>
  <si>
    <t>Penyebab: collation kolom database bercampur sehingga JOIN error 500. Semua tabel diseragamkan (migrasi 005). Diverifikasi di salinan lokal: halaman terbuka. Berlaku di server setelah rilis 9 Okt 2026 di-deploy.</t>
  </si>
  <si>
    <t>TC-039</t>
  </si>
  <si>
    <t>Laundry</t>
  </si>
  <si>
    <t>Produk laundry sudah ada</t>
  </si>
  <si>
    <t>Laundry &gt; Item cost &gt; Manage Item; Laundry list; Payment</t>
  </si>
  <si>
    <t>Item: Sprei; Cost: 10.000</t>
  </si>
  <si>
    <t>Biaya tampil; Laundry Payment menunjukkan total, dibayar, sisa yang benar</t>
  </si>
  <si>
    <t>Produk sudah ada tinggal "Task Name" dimana untuk inputnya/pilihnya?</t>
  </si>
  <si>
    <t>https://drive.google.com/file/d/1OtmhC8WKdSVVj2dcL2w0kZEzQEiXP6N0/view?usp=drive_link</t>
  </si>
  <si>
    <t>Halaman Laundry juga error 500 (penyebab sama dengan TC-038). Item laundry = produk kategori "Housekeeping products" dengan Laundry item = Yes (Unit and Products &gt; Products list); halaman kini memberi petunjuk bila kosong. Berlaku di server setelah rilis 9 Okt 2026 di-deploy.</t>
  </si>
  <si>
    <t>TC-040</t>
  </si>
  <si>
    <t>Booking kendaraan</t>
  </si>
  <si>
    <t>Flight, vehicle, customer, driver sudah ada</t>
  </si>
  <si>
    <t>Transport Facility &gt; Flight details, Vehicle details &gt; tambah; Vehicle booking &gt; Vehicle Booking Add</t>
  </si>
  <si>
    <t>GA-123; D 1234 AB; Siti Aminah</t>
  </si>
  <si>
    <t>Booking tampil di daftar dengan data lengkap</t>
  </si>
  <si>
    <t>TC-041</t>
  </si>
  <si>
    <t>Atur zona, slot, tarif</t>
  </si>
  <si>
    <t>Zone list, Slot list, Vehicle list, Setting list &gt; Add New</t>
  </si>
  <si>
    <t>Zona A; Slot A1; Mobil; 1 jam; Price 5.000; Tax 10</t>
  </si>
  <si>
    <t>Semua tampil; tombol Submit/Reset di Setting list terbaca utuh</t>
  </si>
  <si>
    <t>DATA ZONE TYPE TIDAK MUNCUL</t>
  </si>
  <si>
    <t>https://drive.google.com/file/d/18Zt1ln7hudYwarQljbjPB1ReUfco2mlH/view?usp=drive_link</t>
  </si>
  <si>
    <t>Tombol Submit/Reset tidak lagi terpotong; tombol Reset dulu ikut MENYIMPAN data, kini benar-benar reset. Berlaku di server setelah rilis 9 Okt 2026 di-deploy.</t>
  </si>
  <si>
    <t>TC-042</t>
  </si>
  <si>
    <t>Booking parkir</t>
  </si>
  <si>
    <t>Booking kamar dan tarif parkir sudah ada</t>
  </si>
  <si>
    <t>Car Parking &gt; Book parking &gt; isi &gt; pilih slot &gt; Submit</t>
  </si>
  <si>
    <t>Booking Siti Aminah; Mobil; Zona A; 2 jam</t>
  </si>
  <si>
    <t>Bill Summary = 10.000 + pajak; tampil di Parking list; slot terpakai</t>
  </si>
  <si>
    <t>TC-043</t>
  </si>
  <si>
    <t>Atur dan booking hall</t>
  </si>
  <si>
    <t>Seatplan &gt; Add New; Hallroom type &gt; Add New; Hallroom assign; Hallroom booking</t>
  </si>
  <si>
    <t>Seatplan: Teater; Type: Ballroom; Rate 1.000.000/jam; 3 jam</t>
  </si>
  <si>
    <t>Booking tampil; total 3.000.000 + pajak; muncul di Report</t>
  </si>
  <si>
    <t>Belum diuji. Pemilih tanggal hall ikut diperbaiki bersama TC-020.</t>
  </si>
  <si>
    <t>TC-044</t>
  </si>
  <si>
    <t>Booking report</t>
  </si>
  <si>
    <t>Ada booking selesai</t>
  </si>
  <si>
    <t>Reports &gt; Booking report &gt; filter tanggal</t>
  </si>
  <si>
    <t>Tanggal hari ini</t>
  </si>
  <si>
    <t>Jumlah dan nilai sama dengan Booking list</t>
  </si>
  <si>
    <t>TC-045</t>
  </si>
  <si>
    <t>Jurnal dan balance sheet</t>
  </si>
  <si>
    <t>Ada transaksi hotel dan restoran</t>
  </si>
  <si>
    <t>Account &gt; laporan akun (COA print, Balance sheet)</t>
  </si>
  <si>
    <t>Periode hari ini</t>
  </si>
  <si>
    <t>Transaksi tercatat; debit = kredit; saldo kas bertambah sesuai pembayaran</t>
  </si>
  <si>
    <t>TC-046</t>
  </si>
  <si>
    <t>Pajak hotel masuk ke pengawasan</t>
  </si>
  <si>
    <t>Check out sudah dibayar</t>
  </si>
  <si>
    <t>Buka Pengawasan PBJT &gt; cari transaksi hotel hari ini</t>
  </si>
  <si>
    <t>Invoice Siti Aminah</t>
  </si>
  <si>
    <t>Dasar pengenaan dan pajak sama dengan invoice</t>
  </si>
  <si>
    <t>Engine PBJT kamar diperbarui: per booking disimpan harga per malam, jumlah malam, DPP, PBJT, tarif. Harga termasuk PBJT (default): PBJT = bruto - bruto/1,1. Harapan disesuaikan: DPP + PBJT = total tagihan kamar. Berlaku di server setelah rilis 9 Okt 2026 di-deploy.</t>
  </si>
  <si>
    <t>TC-047</t>
  </si>
  <si>
    <t>Pajak restoran masuk ke pengawasan</t>
  </si>
  <si>
    <t>Order restoran sudah dibayar</t>
  </si>
  <si>
    <t>Buka Pengawasan PBJT &gt; cari transaksi restoran hari ini</t>
  </si>
  <si>
    <t>Order Nasi Goreng x2</t>
  </si>
  <si>
    <t>Pajak sama dengan struk; order batal tidak ikut terhitung</t>
  </si>
  <si>
    <t>Restoran memakai engine PBJT yang sama: DPP = subtotal - diskon + service charge, PBJT = DPP x 10%, disimpan per order. Order batal tidak dihitung. Berlaku di server setelah rilis 9 Okt 2026 di-deploy.</t>
  </si>
  <si>
    <t>TC-048</t>
  </si>
  <si>
    <t>Tambah user dan hak akses</t>
  </si>
  <si>
    <t>Settings &gt; Add user; Role List; Assign Role To User; login dengan user baru</t>
  </si>
  <si>
    <t>User: kasir1; role: Kasir</t>
  </si>
  <si>
    <t>User hanya melihat menu sesuai role</t>
  </si>
  <si>
    <t>bahari@egzy.test (admin), lalu akun kasir baru</t>
  </si>
  <si>
    <t>Isian email &amp; password di form Add user tidak lagi terisi otomatis oleh browser. Berlaku di server setelah rilis 9 Okt 2026 di-deploy.</t>
  </si>
  <si>
    <t>TC-049</t>
  </si>
  <si>
    <t>Konsistensi format tanggal</t>
  </si>
  <si>
    <t>Bandingkan tanggal di Attendance dashboard dan Day Closing report</t>
  </si>
  <si>
    <t>Format tanggal sama di semua halaman</t>
  </si>
  <si>
    <t>melati@egzy.test dan bahari@egzy.test</t>
  </si>
  <si>
    <t>Format tanggal Attendance dashboard diseragamkan DD/MM/YYYY (sama dengan Day Closing). Berlaku di server setelah rilis 9 Okt 2026 di-deploy.</t>
  </si>
  <si>
    <t>TC-050</t>
  </si>
  <si>
    <t>Data ganda Customer type</t>
  </si>
  <si>
    <t>Restaurant &gt; Customer type &gt; Customer type list</t>
  </si>
  <si>
    <t>Setiap tipe customer hanya muncul satu kali</t>
  </si>
  <si>
    <t>Duplikat customer type dihapus (migrasi 008); "Take Way" menjadi "Take Away". Berlaku di server setelah rilis 9 Okt 2026 di-deploy.</t>
  </si>
  <si>
    <t>TC-051</t>
  </si>
  <si>
    <t>Isolasi data antar-tenant</t>
  </si>
  <si>
    <t>Login sebagai admin Melati</t>
  </si>
  <si>
    <t>Buka Booking list, Customer list, Order list; lalu coba buka alamat halaman atau nomor data milik tenant lain (misalnya Serena) langsung di browser</t>
  </si>
  <si>
    <t>Akun melati@egzy.test; data milik Serena</t>
  </si>
  <si>
    <t>Hanya data Melati yang tampil; data tenant lain tertolak atau tidak ditemukan</t>
  </si>
  <si>
    <t>sesuai</t>
  </si>
  <si>
    <t>TC-052</t>
  </si>
  <si>
    <t>Akun tenant tidak bisa membuka fungsi Bapenda</t>
  </si>
  <si>
    <t>Login sebagai admin tenant</t>
  </si>
  <si>
    <t>Coba buka menu temuan, tagihan semua WP, dan kelola tenant, termasuk lewat alamat halaman langsung</t>
  </si>
  <si>
    <t>Akun melati@egzy.test</t>
  </si>
  <si>
    <t>Menu Bapenda tidak tampil dan aksesnya tertolak</t>
  </si>
  <si>
    <t>TC-053</t>
  </si>
  <si>
    <t>Akun tamu terikat ke WP-nya</t>
  </si>
  <si>
    <t>Login sebagai tamu website</t>
  </si>
  <si>
    <t>Buat booking dari website; cek di Booking list tenant; coba memesan di WP lain dan membuka halaman admin</t>
  </si>
  <si>
    <t>Akun tamu1.wp001@egzy.test</t>
  </si>
  <si>
    <t>Booking muncul di tenant yang benar; tamu tidak bisa masuk halaman admin; perilaku pesan di WP lain sesuai aturan yang disepakati</t>
  </si>
  <si>
    <t>tamu1.wp001@egzy.test, lalu melati@egzy.test</t>
  </si>
  <si>
    <t>Wajib pajak</t>
  </si>
  <si>
    <t>Peran dalam skenario</t>
  </si>
  <si>
    <t>Akun tenant</t>
  </si>
  <si>
    <t>Menu yang dicek</t>
  </si>
  <si>
    <t>Akun login</t>
  </si>
  <si>
    <t>RK-01</t>
  </si>
  <si>
    <t>Melati</t>
  </si>
  <si>
    <t>Patuh</t>
  </si>
  <si>
    <t>Rekonsiliasi, Selisih/Gap, STPD, Status Kepatuhan</t>
  </si>
  <si>
    <t>QRIS sekitar 0,5-0,6 kali omzet; tagihan lunas; tidak ada temuan; status patuh</t>
  </si>
  <si>
    <t>Data demo di-seed ulang dengan perhitungan PBJT baru (kamar termasuk pajak, restoran ditambah PBJT); nilai tagihan berubah, rasio QRIS tetap. Uji ulang angka. Berlaku di server setelah rilis 9 Okt 2026 di-deploy.</t>
  </si>
  <si>
    <t>RK-02</t>
  </si>
  <si>
    <t>Sunda Asli</t>
  </si>
  <si>
    <t>tidak disebut di pesan</t>
  </si>
  <si>
    <t>Uji ulang angka setelah seed ulang (lihat RK-01). Berlaku di server setelah rilis 9 Okt 2026 di-deploy.</t>
  </si>
  <si>
    <t>RK-03</t>
  </si>
  <si>
    <t>Nirwana</t>
  </si>
  <si>
    <t>RK-04</t>
  </si>
  <si>
    <t>Serena</t>
  </si>
  <si>
    <t>Kurang lapor</t>
  </si>
  <si>
    <t>Rekonsiliasi, Selisih/Gap</t>
  </si>
  <si>
    <t>QRIS 1,14 lalu 1,32 kali omzet pada dua masa pajak; muncul temuan risiko tinggi</t>
  </si>
  <si>
    <t>Jatuh tempo setiap tanggal 10 setiap bulannya</t>
  </si>
  <si>
    <t>Jatuh tempo diubah ke tanggal 10 bulan berikutnya, sesuai catatan penguji. Berlaku di server setelah rilis 9 Okt 2026 di-deploy.</t>
  </si>
  <si>
    <t>RK-05</t>
  </si>
  <si>
    <t>Kenanga</t>
  </si>
  <si>
    <t>Dua outlet QRIS, satu tanpa tapping box</t>
  </si>
  <si>
    <t>Muncul temuan; outlet tanpa tapping box teridentifikasi</t>
  </si>
  <si>
    <t>tidak ada akun tenant</t>
  </si>
  <si>
    <t>RK-06</t>
  </si>
  <si>
    <t>Kopi Senja</t>
  </si>
  <si>
    <t>Selisih tipis dan outlet baru belum terdaftar</t>
  </si>
  <si>
    <t>Selisih/Gap, Review Pendaftaran</t>
  </si>
  <si>
    <t>Temuan tingkat sedang; MID QR-SNJ-02 tampil di antrean</t>
  </si>
  <si>
    <t>RK-07</t>
  </si>
  <si>
    <t>Steak Jaya</t>
  </si>
  <si>
    <t>Ada refund QRIS</t>
  </si>
  <si>
    <t>Rekonsiliasi, Status Kepatuhan</t>
  </si>
  <si>
    <t>Refund diperhitungkan; WP tetap berstatus patuh; tidak ada temuan</t>
  </si>
  <si>
    <t>RK-08</t>
  </si>
  <si>
    <t>Cempaka</t>
  </si>
  <si>
    <t>Telat bayar</t>
  </si>
  <si>
    <t>STPD, Realisasi Pembayaran</t>
  </si>
  <si>
    <t>VA masa Agustus berstatus kedaluwarsa; tagihan tercatat belum dibayar atau terlambat</t>
  </si>
  <si>
    <t>Penerbitan STPD harus dalam bentuk dokumen</t>
  </si>
  <si>
    <t>STPD kini berupa dokumen siap cetak: Bapenda &gt; tabel tagihan &gt; "Terbitkan STPD". Memuat identitas WP, masa, pokok, jatuh tempo, tanggal bayar/terbit, bulan terlambat, bunga, total. Bertanda DRAFT: parameter sanksi (1%/bulan, maks 24 bulan) BELUM DIVERIFIKASI terhadap Perda PDRD / PP 35/2023. Berlaku di server setelah rilis 9 Okt 2026 di-deploy.</t>
  </si>
  <si>
    <t>RK-09</t>
  </si>
  <si>
    <t>Villa Asri</t>
  </si>
  <si>
    <t>Tenant baru</t>
  </si>
  <si>
    <t>MPOS tenant Villa; SPTPD, STPD</t>
  </si>
  <si>
    <t>Kamar sudah tersedia di MPOS; belum ada tagihan di dashboard; tidak ditandai menunggak</t>
  </si>
  <si>
    <t>bapenda@egzy.test dan villa@egzy.test</t>
  </si>
  <si>
    <t>RK-10</t>
  </si>
  <si>
    <t>Bahari</t>
  </si>
  <si>
    <t>Restoran dengan POS</t>
  </si>
  <si>
    <t>MPOS tenant Bahari &gt; Order List; Estimasi PBJT</t>
  </si>
  <si>
    <t>Sekitar 640 order kasir; omzet di dashboard sama dengan total order selesai</t>
  </si>
  <si>
    <t>dashboard yang muncul adalah dashboad hotel</t>
  </si>
  <si>
    <t>https://drive.google.com/file/d/1ly0k_gryFdaLOKcmUh6aHOlvdFxk4BAH/view?usp=sharing</t>
  </si>
  <si>
    <t>bapenda@egzy.test dan bahari@egzy.test</t>
  </si>
  <si>
    <t>Tenant restoran kini mendapat dashboard restoran: order hari ini, omzet order selesai, order berjalan/batal, PBJT bulan ini, tren bulanan, order terbaru. Berlaku di server setelah rilis 9 Okt 2026 di-deploy.</t>
  </si>
  <si>
    <t>RK-11</t>
  </si>
  <si>
    <t>Tamu bayar lewat VA BNI</t>
  </si>
  <si>
    <t>MPOS tenant Nirwana &gt; Booking list; Realisasi Pembayaran</t>
  </si>
  <si>
    <t>Sekitar 40% booking dibayar lewat VA; pembayaran VA tercatat</t>
  </si>
  <si>
    <t>data booking tidak muncul</t>
  </si>
  <si>
    <t>https://drive.google.com/file/d/1Jd72AYYF7tW1YddMKLwTTRKaJzAlhGII/view?usp=drive_link</t>
  </si>
  <si>
    <t>bapenda@egzy.test dan nirwana@egzy.test</t>
  </si>
  <si>
    <t>Booking yang dibayar via VA umumnya sudah check-out, dan dulu tidak ada daftar untuk booking selesai. Booking list kini punya filter status; pilih "Checkout" atau "Semua". Pembuatan booking juga diperbaiki (TC-020). Berlaku di server setelah rilis 9 Okt 2026 di-deploy.</t>
  </si>
  <si>
    <t>Sumber: pesan pengembang tentang 10 WP contoh. Nirwana punya dua baris karena memegang dua peran.</t>
  </si>
  <si>
    <t>Kolom Menu yang dicek adalah perkiraan dari nama menu di dashboard Bapenda; sesuaikan bila letaknya berbeda.</t>
  </si>
  <si>
    <t>Rasio QRIS terhadap omzet di atas 1 berarti penerimaan QRIS melebihi omzet yang dilaporkan.</t>
  </si>
  <si>
    <t>No</t>
  </si>
  <si>
    <t>Lokasi</t>
  </si>
  <si>
    <t>Temuan dari screenshot</t>
  </si>
  <si>
    <t>Tingkat</t>
  </si>
  <si>
    <t>Role bapenda@egzy.test</t>
  </si>
  <si>
    <t>Petugas Bapenda masih melihat seluruh menu hotel (Room Reservation, Restaurant, Payroll, dan lainnya). Layak diuji: data siapa yang tampil di sana, dan apakah petugas Bapenda bisa mengubah data operasional tenant.</t>
  </si>
  <si>
    <t>Tinggi</t>
  </si>
  <si>
    <t>Role hotel dan resto</t>
  </si>
  <si>
    <t>Dashboard hotel dan resto</t>
  </si>
  <si>
    <t>Diperbaiki: menu operasional disembunyikan untuk Bapenda dan aksesnya ditolak server (termasuk lewat alamat langsung); beranda Bapenda = Pengawasan PBJT. Data yang tampil dulu adalah data database pengawasan sendiri, bukan data WP.</t>
  </si>
  <si>
    <t>Dashboard Restoran</t>
  </si>
  <si>
    <t>Saat ini dashboard maish menampilkan dashboard hotel</t>
  </si>
  <si>
    <t>Diperbaiki: tenant restoran mendapat dashboard restoran (lihat RK-10).</t>
  </si>
  <si>
    <t>Records (House Keeping)</t>
  </si>
  <si>
    <t>HTTP Error 500 saat menu dibuka</t>
  </si>
  <si>
    <t>Diperbaiki: penyeragaman collation database (migrasi 005). Halaman Laundry punya penyebab yang sama.</t>
  </si>
  <si>
    <t>Customer type list</t>
  </si>
  <si>
    <t>Hotel, Online, dan Walk In Customer masing-masing muncul dua kali</t>
  </si>
  <si>
    <t>Sedang</t>
  </si>
  <si>
    <t>Diperbaiki: duplikat dihapus (migrasi 008).</t>
  </si>
  <si>
    <t>Day Closing report</t>
  </si>
  <si>
    <t>Print Date 12:55:55 padahal jam aplikasi 13:56:08; selisih sekitar satu jam</t>
  </si>
  <si>
    <t>Diperbaiki: zona waktu Asia/Dhaka yang dipaksakan dihapus; format 24 jam; seluruh aplikasi kini memakai WIB (dulu UTC).</t>
  </si>
  <si>
    <t>Format tanggal</t>
  </si>
  <si>
    <t>Attendance dashboard 10/07/2026, Day Closing 07/10/2026</t>
  </si>
  <si>
    <t>Diperbaiki: Attendance dashboard memakai DD/MM/YYYY.</t>
  </si>
  <si>
    <t>Restaurant table setup</t>
  </si>
  <si>
    <t>Halaman kosong (mungkin karena belum ada meja)</t>
  </si>
  <si>
    <t>Perlu dicek</t>
  </si>
  <si>
    <t>Benar karena belum ada meja; kini tampil pesan "Belum ada meja". Ikon meja default yang hilang juga diperbaiki.</t>
  </si>
  <si>
    <t>Halaman kosong (mungkin karena belum ada kamar)</t>
  </si>
  <si>
    <t>Bukan karena belum ada kamar: QR memakai layanan Google yang sudah mati. Diperbaiki (lihat TC-018).</t>
  </si>
  <si>
    <t>Sound setting</t>
  </si>
  <si>
    <t>Ikon Notify Sound rusak</t>
  </si>
  <si>
    <t>Rendah</t>
  </si>
  <si>
    <t>Diperbaiki: file suara ditampilkan sebagai gambar; kini pemutar audio. File bawaan yang hilang diganti bunyi yang tersedia.</t>
  </si>
  <si>
    <t>Car Parking - Setting list</t>
  </si>
  <si>
    <t>Teks tombol Submit dan Reset terpotong dua baris</t>
  </si>
  <si>
    <t>Diperbaiki (lihat TC-041).</t>
  </si>
  <si>
    <t>Add user (Settings)</t>
  </si>
  <si>
    <t>Email dan password terisi otomatis oleh browser di form tambah user</t>
  </si>
  <si>
    <t>Diperbaiki (lihat TC-048).</t>
  </si>
  <si>
    <t>Salah ketik</t>
  </si>
  <si>
    <t>Cheklist, Booking Soruce, Whatsapp Phone Numer, Airlience Name, Factory rest</t>
  </si>
  <si>
    <t>Diperbaiki: Checklist, Booking Source, Whatsapp Phone Number, Airline Name, Factory reset (juga Received, Housekeeping products).</t>
  </si>
  <si>
    <t>QRIS 60 % dari total omzet</t>
  </si>
  <si>
    <t>Pertanyaan untuk pengembang:
Di mana angka 0,6 ditetapkan, dan bisakah diubah per jenis usaha atau per WP?
Apa dasar angka itu: data nyata atau perkiraan untuk demo?
Apakah "QRIS agregat" mencakup transaksi kartu (EDC)?</t>
  </si>
  <si>
    <t>Dijawab: 0,6 = parameter porsi non-tunai bawaan engine, satu nilai untuk semua WP (belum per jenis usaha/WP). Nilai demo, bukan data nyata; perlu disepakati dengan Bapenda.</t>
  </si>
  <si>
    <t>Apakah angkanya sudah dikurangi refund dan biaya bank (MDR), dan apakah transaksi kartu lewat mesin EDC ikut dijumlahkan, karena subjudul halaman menyebut "QRIS/EDC" sedangkan nama kolomnya hanya "QRIS"</t>
  </si>
  <si>
    <t>Dijawab: refund QRIS ikut dihitung (nilai negatif). Nilai settlement dipakai apa adanya dari bank (belum disesuaikan MDR). Data demo hanya berisi QRIS; transaksi kartu EDC belum dipisahkan dan perlu dikonfirmasi dari format file settlement bank.</t>
  </si>
  <si>
    <t>Menu</t>
  </si>
  <si>
    <t>Gambar</t>
  </si>
  <si>
    <t>Saran Perbaikan</t>
  </si>
  <si>
    <t>Status perbaikan (9 Okt 2026)</t>
  </si>
  <si>
    <t>Menu POS restoran</t>
  </si>
  <si>
    <t>Warna teks diganti warna hitam supaya mudha dibaca</t>
  </si>
  <si>
    <t>Diperbaiki: teks tab POS (New/On Going/Online/Today Order) kini hitam. Berlaku di server setelah rilis 9 Okt 2026 di-deploy.</t>
  </si>
  <si>
    <t>Belum berwarna hitam</t>
  </si>
  <si>
    <t>Add employee</t>
  </si>
  <si>
    <t>Hapus</t>
  </si>
  <si>
    <t>Tambah Booking Type</t>
  </si>
  <si>
    <t>Walk-in	Tamu datang langsung ke resepsionis
Telepon / WhatsApp	Pesan lewat telepon atau chat ke hotel
Website Hotel	Pesan lewat website hotel sendiri
OTA	Online travel agent seperti Traveloka, Tiket.com
Korporat	Kontrak dengan perusahaan atau instansi
Travel Agent	Biro perjalanan konvensional
Grup / Event	Rombongan, rapat, pernikahan</t>
  </si>
  <si>
    <t>Menu Side bar</t>
  </si>
  <si>
    <t>Ganti total amount menjadi rupiah</t>
  </si>
  <si>
    <t>Menu Sidebar</t>
  </si>
  <si>
    <t>Belum Responsive</t>
  </si>
  <si>
    <t>Semua Menu</t>
  </si>
  <si>
    <t>Perbaikan layout dan penyesuaian baik form field button, reponsive setiap element. yang masih mepet tumpang tindih dllnya🙏🏻</t>
  </si>
  <si>
    <t>Semua Halaman untuk branding</t>
  </si>
  <si>
    <t>mungkin nanti bisa di ganti warna brandingnya ke biru penyesuaian dengan logo mentawai warna biru</t>
  </si>
  <si>
    <t>style dibuat lebih konsisten baik dari typography warna dan lainnya</t>
  </si>
  <si>
    <t>Flow inputan kemudian penempatan masih membingungkan, masih harus dipelajari lebih mendalam bantu untuk tampilan lebih user friendly apakah bisa dibantu untuk di tambahkan informasi seperti yang sudah dibuat "(halaman kini memberi petunjuk)"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</si>
</sst>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m/dd/yy"/>
    <numFmt numFmtId="166" formatCode="m/d/yy"/>
  </numFmts>
  <fonts count="17">
    <font>
      <sz val="11.0"/>
      <color theme="1"/>
      <name val="Calibri"/>
      <scheme val="minor"/>
    </font>
    <font>
      <b/>
      <sz val="16.0"/>
      <color theme="1"/>
      <name val="Arial"/>
    </font>
    <font>
      <sz val="11.0"/>
      <color theme="1"/>
      <name val="Calibri"/>
    </font>
    <font>
      <sz val="11.0"/>
      <color theme="1"/>
      <name val="Arial"/>
    </font>
    <font>
      <b/>
      <sz val="11.0"/>
      <color rgb="FFFFFFFF"/>
      <name val="Arial"/>
    </font>
    <font>
      <sz val="10.0"/>
      <color theme="1"/>
      <name val="Arial"/>
    </font>
    <font>
      <i/>
      <sz val="10.0"/>
      <color theme="1"/>
      <name val="Arial"/>
    </font>
    <font>
      <b/>
      <sz val="11.0"/>
      <color theme="1"/>
      <name val="Arial"/>
    </font>
    <font>
      <u/>
      <sz val="10.0"/>
      <color rgb="FF0000FF"/>
      <name val="Arial"/>
    </font>
    <font>
      <u/>
      <sz val="10.0"/>
      <color rgb="FF0000FF"/>
      <name val="Arial"/>
    </font>
    <font>
      <u/>
      <sz val="10.0"/>
      <color rgb="FF000000"/>
      <name val="Arial"/>
    </font>
    <font>
      <b/>
      <sz val="10.0"/>
      <color theme="1"/>
      <name val="Arial"/>
    </font>
    <font>
      <u/>
      <sz val="10.0"/>
      <color theme="1"/>
      <name val="Arial"/>
    </font>
    <font>
      <u/>
      <sz val="10.0"/>
      <color rgb="FF0000FF"/>
      <name val="Arial"/>
    </font>
    <font>
      <sz val="11.0"/>
      <color rgb="FFFFFFFF"/>
      <name val="Calibri"/>
    </font>
    <font/>
    <font>
      <color theme="1"/>
      <name val="Calibri"/>
      <scheme val="minor"/>
    </font>
  </fonts>
  <fills count="9">
    <fill>
      <patternFill patternType="none"/>
    </fill>
    <fill>
      <patternFill patternType="lightGray"/>
    </fill>
    <fill>
      <patternFill patternType="solid">
        <fgColor rgb="FF0F6B5C"/>
        <bgColor rgb="FF0F6B5C"/>
      </patternFill>
    </fill>
    <fill>
      <patternFill patternType="solid">
        <fgColor rgb="FFFFF9D6"/>
        <bgColor rgb="FFFFF9D6"/>
      </patternFill>
    </fill>
    <fill>
      <patternFill patternType="solid">
        <fgColor rgb="FFF4CCCC"/>
        <bgColor rgb="FFF4CCCC"/>
      </patternFill>
    </fill>
    <fill>
      <patternFill patternType="solid">
        <fgColor rgb="FFFFF2CC"/>
        <bgColor rgb="FFFFF2CC"/>
      </patternFill>
    </fill>
    <fill>
      <patternFill patternType="solid">
        <fgColor rgb="FFB6D7A8"/>
        <bgColor rgb="FFB6D7A8"/>
      </patternFill>
    </fill>
    <fill>
      <patternFill patternType="solid">
        <fgColor rgb="FF0000FF"/>
        <bgColor rgb="FF0000FF"/>
      </patternFill>
    </fill>
    <fill>
      <patternFill patternType="solid">
        <fgColor rgb="FFFFFFFF"/>
        <bgColor rgb="FFFFFFFF"/>
      </patternFill>
    </fill>
  </fills>
  <borders count="6">
    <border/>
    <border>
      <left style="thin">
        <color rgb="FFC9CFCD"/>
      </left>
      <right style="thin">
        <color rgb="FFC9CFCD"/>
      </right>
      <top style="thin">
        <color rgb="FFC9CFCD"/>
      </top>
      <bottom style="thin">
        <color rgb="FFC9CFCD"/>
      </bottom>
    </border>
    <border>
      <left/>
      <right/>
      <top/>
      <bottom/>
    </border>
    <border>
      <left/>
      <top/>
      <bottom/>
    </border>
    <border>
      <top/>
      <bottom/>
    </border>
    <border>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1" fillId="2" fontId="4" numFmtId="0" xfId="0" applyAlignment="1" applyBorder="1" applyFill="1" applyFont="1">
      <alignment shrinkToFit="0" vertical="center" wrapText="1"/>
    </xf>
    <xf borderId="1" fillId="0" fontId="5" numFmtId="0" xfId="0" applyAlignment="1" applyBorder="1" applyFont="1">
      <alignment shrinkToFit="0" vertical="top" wrapText="1"/>
    </xf>
    <xf borderId="0" fillId="0" fontId="6" numFmtId="0" xfId="0" applyFont="1"/>
    <xf borderId="1" fillId="0" fontId="3" numFmtId="0" xfId="0" applyBorder="1" applyFont="1"/>
    <xf borderId="1" fillId="0" fontId="3" numFmtId="9" xfId="0" applyBorder="1" applyFont="1" applyNumberFormat="1"/>
    <xf borderId="1" fillId="0" fontId="7" numFmtId="0" xfId="0" applyBorder="1" applyFont="1"/>
    <xf borderId="1" fillId="0" fontId="7" numFmtId="9" xfId="0" applyBorder="1" applyFont="1" applyNumberFormat="1"/>
    <xf borderId="1" fillId="3" fontId="5" numFmtId="0" xfId="0" applyAlignment="1" applyBorder="1" applyFill="1" applyFont="1">
      <alignment shrinkToFit="0" vertical="top" wrapText="1"/>
    </xf>
    <xf borderId="1" fillId="3" fontId="5" numFmtId="0" xfId="0" applyAlignment="1" applyBorder="1" applyFill="1" applyFont="1">
      <alignment readingOrder="0" shrinkToFit="0" vertical="top" wrapText="1"/>
    </xf>
    <xf borderId="1" fillId="3" fontId="5" numFmtId="164" xfId="0" applyAlignment="1" applyBorder="1" applyFill="1" applyFont="1" applyNumberFormat="1">
      <alignment shrinkToFit="0" vertical="top" wrapText="1"/>
    </xf>
    <xf borderId="1" fillId="3" fontId="8" numFmtId="0" xfId="0" applyAlignment="1" applyBorder="1" applyFill="1" applyFont="1">
      <alignment shrinkToFit="0" vertical="top" wrapText="1"/>
    </xf>
    <xf borderId="1" fillId="4" fontId="5" numFmtId="0" xfId="0" applyAlignment="1" applyBorder="1" applyFill="1" applyFont="1">
      <alignment readingOrder="0" shrinkToFit="0" vertical="top" wrapText="1"/>
    </xf>
    <xf borderId="1" fillId="4" fontId="5" numFmtId="0" xfId="0" applyAlignment="1" applyBorder="1" applyFill="1" applyFont="1">
      <alignment shrinkToFit="0" vertical="top" wrapText="1"/>
    </xf>
    <xf borderId="1" fillId="3" fontId="5" numFmtId="164" xfId="0" applyAlignment="1" applyBorder="1" applyFill="1" applyFont="1" applyNumberFormat="1">
      <alignment readingOrder="0" shrinkToFit="0" vertical="top" wrapText="1"/>
    </xf>
    <xf borderId="1" fillId="3" fontId="9" numFmtId="0" xfId="0" applyAlignment="1" applyBorder="1" applyFill="1" applyFont="1">
      <alignment readingOrder="0" shrinkToFit="0" vertical="top" wrapText="1"/>
    </xf>
    <xf borderId="1" fillId="3" fontId="5" numFmtId="165" xfId="0" applyAlignment="1" applyBorder="1" applyFill="1" applyFont="1" applyNumberFormat="1">
      <alignment readingOrder="0" shrinkToFit="0" vertical="top" wrapText="1"/>
    </xf>
    <xf borderId="1" fillId="5" fontId="5" numFmtId="0" xfId="0" applyAlignment="1" applyBorder="1" applyFill="1" applyFont="1">
      <alignment readingOrder="0" shrinkToFit="0" vertical="top" wrapText="1"/>
    </xf>
    <xf borderId="1" fillId="3" fontId="10" numFmtId="0" xfId="0" applyAlignment="1" applyBorder="1" applyFill="1" applyFont="1">
      <alignment readingOrder="0" shrinkToFit="0" vertical="top" wrapText="1"/>
    </xf>
    <xf borderId="1" fillId="4" fontId="11" numFmtId="0" xfId="0" applyAlignment="1" applyBorder="1" applyFill="1" applyFont="1">
      <alignment readingOrder="0" shrinkToFit="0" vertical="top" wrapText="1"/>
    </xf>
    <xf borderId="1" fillId="3" fontId="12" numFmtId="0" xfId="0" applyAlignment="1" applyBorder="1" applyFill="1" applyFont="1">
      <alignment readingOrder="0" shrinkToFit="0" vertical="top" wrapText="1"/>
    </xf>
    <xf borderId="1" fillId="3" fontId="13" numFmtId="0" xfId="0" applyAlignment="1" applyBorder="1" applyFill="1" applyFont="1">
      <alignment readingOrder="0" shrinkToFit="0" vertical="top" wrapText="1"/>
    </xf>
    <xf borderId="1" fillId="3" fontId="5" numFmtId="166" xfId="0" applyAlignment="1" applyBorder="1" applyFill="1" applyFont="1" applyNumberFormat="1">
      <alignment shrinkToFit="0" vertical="top" wrapText="1"/>
    </xf>
    <xf borderId="1" fillId="6" fontId="5" numFmtId="0" xfId="0" applyAlignment="1" applyBorder="1" applyFill="1" applyFont="1">
      <alignment readingOrder="0" shrinkToFit="0" vertical="top" wrapText="1"/>
    </xf>
    <xf borderId="0" fillId="6" fontId="5" numFmtId="0" xfId="0" applyAlignment="1" applyFill="1" applyFont="1">
      <alignment readingOrder="0" shrinkToFit="0" vertical="top" wrapText="1"/>
    </xf>
    <xf borderId="1" fillId="6" fontId="5" numFmtId="0" xfId="0" applyAlignment="1" applyBorder="1" applyFill="1" applyFont="1">
      <alignment shrinkToFit="0" vertical="top" wrapText="1"/>
    </xf>
    <xf borderId="0" fillId="6" fontId="2" numFmtId="0" xfId="0" applyFill="1" applyFont="1"/>
    <xf borderId="0" fillId="6" fontId="2" numFmtId="0" xfId="0" applyAlignment="1" applyFill="1" applyFont="1">
      <alignment readingOrder="0" vertical="top"/>
    </xf>
    <xf borderId="0" fillId="6" fontId="5" numFmtId="0" xfId="0" applyAlignment="1" applyFill="1" applyFont="1">
      <alignment vertical="top"/>
    </xf>
    <xf borderId="0" fillId="6" fontId="2" numFmtId="0" xfId="0" applyAlignment="1" applyFill="1" applyFont="1">
      <alignment readingOrder="0"/>
    </xf>
    <xf borderId="0" fillId="6" fontId="5" numFmtId="0" xfId="0" applyAlignment="1" applyFill="1" applyFont="1">
      <alignment shrinkToFit="0" wrapText="1"/>
    </xf>
    <xf borderId="2" fillId="7" fontId="14" numFmtId="0" xfId="0" applyAlignment="1" applyBorder="1" applyFill="1" applyFont="1">
      <alignment horizontal="center"/>
    </xf>
    <xf borderId="3" fillId="7" fontId="14" numFmtId="0" xfId="0" applyAlignment="1" applyBorder="1" applyFill="1" applyFont="1">
      <alignment horizontal="center"/>
    </xf>
    <xf borderId="4" fillId="0" fontId="15" numFmtId="0" xfId="0" applyBorder="1" applyFont="1"/>
    <xf borderId="5" fillId="0" fontId="15" numFmtId="0" xfId="0" applyBorder="1" applyFont="1"/>
    <xf borderId="0" fillId="0" fontId="16" numFmtId="0" xfId="0" applyFont="1"/>
    <xf borderId="0" fillId="0" fontId="16" numFmtId="0" xfId="0" applyAlignment="1" applyFont="1">
      <alignment readingOrder="0"/>
    </xf>
    <xf borderId="0" fillId="4" fontId="16" numFmtId="0" xfId="0" applyAlignment="1" applyFill="1" applyFont="1">
      <alignment readingOrder="0"/>
    </xf>
    <xf borderId="0" fillId="4" fontId="16" numFmtId="0" xfId="0" applyFill="1" applyFont="1"/>
    <xf borderId="0" fillId="4" fontId="16" numFmtId="0" xfId="0" applyAlignment="1" applyFill="1" applyFont="1">
      <alignment readingOrder="0" shrinkToFit="0" wrapText="1"/>
    </xf>
    <xf borderId="0" fillId="8" fontId="16" numFmtId="0" xfId="0" applyFill="1" applyFont="1"/>
  </cellXfs>
  <cellStyles count="1">
    <cellStyle xfId="0" name="Normal" builtinId="0"/>
  </cellStyles>
  <dxfs count="3">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4B5"/>
          <bgColor rgb="FFFFE4B5"/>
        </patternFill>
      </fill>
      <border/>
    </dxf>
  </dxfs>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38100</xdr:rowOff>
    </xdr:from>
    <xdr:ext cx="4743450" cy="638175"/>
    <xdr:pic>
      <xdr:nvPicPr>
        <xdr:cNvPr id="0" name="image5.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1276350</xdr:colOff>
      <xdr:row>5</xdr:row>
      <xdr:rowOff>47625</xdr:rowOff>
    </xdr:from>
    <xdr:ext cx="4600575" cy="638175"/>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57150</xdr:colOff>
      <xdr:row>8</xdr:row>
      <xdr:rowOff>152400</xdr:rowOff>
    </xdr:from>
    <xdr:ext cx="4667250" cy="742950"/>
    <xdr:pic>
      <xdr:nvPicPr>
        <xdr:cNvPr id="0" name="image6.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95250</xdr:colOff>
      <xdr:row>22</xdr:row>
      <xdr:rowOff>200025</xdr:rowOff>
    </xdr:from>
    <xdr:ext cx="781050" cy="5029200"/>
    <xdr:pic>
      <xdr:nvPicPr>
        <xdr:cNvPr id="0" name="image3.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38100</xdr:colOff>
      <xdr:row>12</xdr:row>
      <xdr:rowOff>161925</xdr:rowOff>
    </xdr:from>
    <xdr:ext cx="3133725" cy="2162175"/>
    <xdr:pic>
      <xdr:nvPicPr>
        <xdr:cNvPr id="0" name="image4.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1247775</xdr:colOff>
      <xdr:row>19</xdr:row>
      <xdr:rowOff>161925</xdr:rowOff>
    </xdr:from>
    <xdr:ext cx="3829050" cy="533400"/>
    <xdr:pic>
      <xdr:nvPicPr>
        <xdr:cNvPr id="0" name="image1.png" title="Gambar"/>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8Zt1ln7hudYwarQljbjPB1ReUfco2mlH/view?usp=drive_link" TargetMode="External"/><Relationship Id="rId10" Type="http://schemas.openxmlformats.org/officeDocument/2006/relationships/hyperlink" Target="https://drive.google.com/file/d/1OtmhC8WKdSVVj2dcL2w0kZEzQEiXP6N0/view?usp=drive_link" TargetMode="External"/><Relationship Id="rId13" Type="http://schemas.openxmlformats.org/officeDocument/2006/relationships/drawing" Target="../drawings/drawing4.xml"/><Relationship Id="rId12" Type="http://schemas.openxmlformats.org/officeDocument/2006/relationships/hyperlink" Target="https://drive.google.com/file/d/18Zt1ln7hudYwarQljbjPB1ReUfco2mlH/view?usp=drive_link" TargetMode="External"/><Relationship Id="rId1" Type="http://schemas.openxmlformats.org/officeDocument/2006/relationships/hyperlink" Target="https://drive.google.com/file/d/1m4NQ6H8itiwmXEv0_IkvlGX0VaXEPOO3/view?usp=drive_link" TargetMode="External"/><Relationship Id="rId2" Type="http://schemas.openxmlformats.org/officeDocument/2006/relationships/hyperlink" Target="https://drive.google.com/file/d/1BupoCFgw8RShkFJwKS16niLb9vdaazU-/view?usp=sharing" TargetMode="External"/><Relationship Id="rId3" Type="http://schemas.openxmlformats.org/officeDocument/2006/relationships/hyperlink" Target="https://drive.google.com/file/d/1wVlvJMaypcEjSD-nRL3DRFdfSxpuGCrc/view?usp=drive_link" TargetMode="External"/><Relationship Id="rId4" Type="http://schemas.openxmlformats.org/officeDocument/2006/relationships/hyperlink" Target="https://drive.google.com/file/d/1wVlvJMaypcEjSD-nRL3DRFdfSxpuGCrc/view?usp=drive_link" TargetMode="External"/><Relationship Id="rId9" Type="http://schemas.openxmlformats.org/officeDocument/2006/relationships/hyperlink" Target="https://drive.google.com/file/d/1m2ktRpR-E2n_0d7o-tFI40V4MWkvKqw4/view?usp=drive_link" TargetMode="External"/><Relationship Id="rId5" Type="http://schemas.openxmlformats.org/officeDocument/2006/relationships/hyperlink" Target="https://drive.google.com/file/d/1S8Y9PQ_bEK_qa2Ip9yD85X_-BRb8d4rp/view?usp=drive_link" TargetMode="External"/><Relationship Id="rId6" Type="http://schemas.openxmlformats.org/officeDocument/2006/relationships/hyperlink" Target="https://drive.google.com/file/d/1jiV3j2Ihq1rhHz7l3GeJb_LLxo9egCi-/view?usp=sharing" TargetMode="External"/><Relationship Id="rId7" Type="http://schemas.openxmlformats.org/officeDocument/2006/relationships/hyperlink" Target="https://drive.google.com/file/d/18j3OG2Gt0ZtSzZ_oISonBGPSe7L3zS8H/view?usp=sharing" TargetMode="External"/><Relationship Id="rId8" Type="http://schemas.openxmlformats.org/officeDocument/2006/relationships/hyperlink" Target="https://drive.google.com/file/d/113JBeBqUuAgHNqXsYGk4hcb7CuCUrZAZ/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ly0k_gryFdaLOKcmUh6aHOlvdFxk4BAH/view?usp=sharing" TargetMode="External"/><Relationship Id="rId2" Type="http://schemas.openxmlformats.org/officeDocument/2006/relationships/hyperlink" Target="https://drive.google.com/file/d/1Jd72AYYF7tW1YddMKLwTTRKaJzAlhGII/view?usp=drive_link"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6" width="8.57"/>
  </cols>
  <sheetData>
    <row r="1" ht="19.5" customHeight="1">
      <c r="A1" s="1" t="s">
        <v>0</v>
      </c>
    </row>
    <row r="2" ht="14.25" customHeight="1">
      <c r="A2" s="2"/>
    </row>
    <row r="3" ht="26.25" customHeight="1">
      <c r="A3" s="3" t="s">
        <v>1</v>
      </c>
    </row>
    <row r="4" ht="15.0" customHeight="1">
      <c r="A4" s="3" t="s">
        <v>2</v>
      </c>
    </row>
    <row r="5" ht="26.25" customHeight="1">
      <c r="A5" s="3" t="s">
        <v>3</v>
      </c>
    </row>
    <row r="6" ht="15.0" customHeight="1">
      <c r="A6" s="3" t="s">
        <v>4</v>
      </c>
    </row>
    <row r="7" ht="26.25" customHeight="1">
      <c r="A7" s="3" t="s">
        <v>5</v>
      </c>
    </row>
    <row r="8" ht="26.25" customHeight="1">
      <c r="A8" s="3" t="s">
        <v>6</v>
      </c>
    </row>
    <row r="9" ht="15.0" customHeight="1">
      <c r="A9" s="3" t="s">
        <v>7</v>
      </c>
    </row>
    <row r="10" ht="26.25" customHeight="1">
      <c r="A10" s="3" t="s">
        <v>8</v>
      </c>
    </row>
    <row r="11" ht="14.25" customHeight="1">
      <c r="A11" s="3" t="s">
        <v>9</v>
      </c>
    </row>
    <row r="12" ht="14.25" customHeight="1">
      <c r="A12" s="2"/>
    </row>
    <row r="13" ht="44.25" customHeight="1">
      <c r="A13" s="3" t="s">
        <v>10</v>
      </c>
    </row>
    <row r="14" ht="14.25" customHeight="1">
      <c r="A14" s="2"/>
    </row>
    <row r="15" ht="14.25" customHeight="1">
      <c r="A15" s="2"/>
    </row>
    <row r="16" ht="14.25" customHeight="1">
      <c r="A16" s="2"/>
    </row>
    <row r="17" ht="14.25" customHeight="1">
      <c r="A17" s="2"/>
    </row>
    <row r="18" ht="14.25" customHeight="1">
      <c r="A18" s="2"/>
    </row>
    <row r="19" ht="14.25" customHeight="1">
      <c r="A19" s="2"/>
    </row>
    <row r="20" ht="14.25" customHeight="1">
      <c r="A20" s="2"/>
    </row>
    <row r="21" ht="14.25" customHeight="1">
      <c r="A21" s="2"/>
    </row>
    <row r="22" ht="14.25" customHeight="1">
      <c r="A22" s="2"/>
    </row>
    <row r="23" ht="14.25" customHeight="1">
      <c r="A23" s="2"/>
    </row>
    <row r="24" ht="14.25" customHeight="1">
      <c r="A24" s="2"/>
    </row>
    <row r="25" ht="14.25" customHeight="1">
      <c r="A25" s="2"/>
    </row>
    <row r="26" ht="14.25" customHeight="1">
      <c r="A26" s="2"/>
    </row>
    <row r="27" ht="14.25" customHeight="1">
      <c r="A27" s="2"/>
    </row>
    <row r="28" ht="14.25" customHeight="1">
      <c r="A28" s="2"/>
    </row>
    <row r="29" ht="14.25" customHeight="1">
      <c r="A29" s="2"/>
    </row>
    <row r="30" ht="14.25" customHeight="1">
      <c r="A30" s="2"/>
    </row>
    <row r="31" ht="14.25" customHeight="1">
      <c r="A31" s="2"/>
    </row>
    <row r="32" ht="14.25" customHeight="1">
      <c r="A32" s="2"/>
    </row>
    <row r="33" ht="14.25" customHeight="1">
      <c r="A33" s="2"/>
    </row>
    <row r="34" ht="14.25" customHeight="1">
      <c r="A34" s="2"/>
    </row>
    <row r="35" ht="14.25" customHeight="1">
      <c r="A35" s="2"/>
    </row>
    <row r="36" ht="14.25" customHeight="1">
      <c r="A36" s="2"/>
    </row>
    <row r="37" ht="14.25" customHeight="1">
      <c r="A37" s="2"/>
    </row>
    <row r="38" ht="14.25" customHeight="1">
      <c r="A38" s="2"/>
    </row>
    <row r="39" ht="14.25" customHeight="1">
      <c r="A39" s="2"/>
    </row>
    <row r="40" ht="14.25" customHeight="1">
      <c r="A40" s="2"/>
    </row>
    <row r="41" ht="14.25" customHeight="1">
      <c r="A41" s="2"/>
    </row>
    <row r="42" ht="14.25" customHeight="1">
      <c r="A42" s="2"/>
    </row>
    <row r="43" ht="14.25" customHeight="1">
      <c r="A43" s="2"/>
    </row>
    <row r="44" ht="14.25" customHeight="1">
      <c r="A44" s="2"/>
    </row>
    <row r="45" ht="14.25" customHeight="1">
      <c r="A45" s="2"/>
    </row>
    <row r="46" ht="14.25" customHeight="1">
      <c r="A46" s="2"/>
    </row>
    <row r="47" ht="14.25" customHeight="1">
      <c r="A47" s="2"/>
    </row>
    <row r="48" ht="14.25" customHeight="1">
      <c r="A48" s="2"/>
    </row>
    <row r="49" ht="14.25" customHeight="1">
      <c r="A49" s="2"/>
    </row>
    <row r="50" ht="14.25" customHeight="1">
      <c r="A50" s="2"/>
    </row>
    <row r="51" ht="14.25" customHeight="1">
      <c r="A51" s="2"/>
    </row>
    <row r="52" ht="14.25" customHeight="1">
      <c r="A52" s="2"/>
    </row>
    <row r="53" ht="14.25" customHeight="1">
      <c r="A53" s="2"/>
    </row>
    <row r="54" ht="14.25" customHeight="1">
      <c r="A54" s="2"/>
    </row>
    <row r="55" ht="14.25" customHeight="1">
      <c r="A55" s="2"/>
    </row>
    <row r="56" ht="14.25" customHeight="1">
      <c r="A56" s="2"/>
    </row>
    <row r="57" ht="14.25" customHeight="1">
      <c r="A57" s="2"/>
    </row>
    <row r="58" ht="14.25" customHeight="1">
      <c r="A58" s="2"/>
    </row>
    <row r="59" ht="14.25" customHeight="1">
      <c r="A59" s="2"/>
    </row>
    <row r="60" ht="14.25" customHeight="1">
      <c r="A60" s="2"/>
    </row>
    <row r="61" ht="14.25" customHeight="1">
      <c r="A61" s="2"/>
    </row>
    <row r="62" ht="14.25" customHeight="1">
      <c r="A62" s="2"/>
    </row>
    <row r="63" ht="14.25" customHeight="1">
      <c r="A63" s="2"/>
    </row>
    <row r="64" ht="14.25" customHeight="1">
      <c r="A64" s="2"/>
    </row>
    <row r="65" ht="14.25" customHeight="1">
      <c r="A65" s="2"/>
    </row>
    <row r="66" ht="14.25" customHeight="1">
      <c r="A66" s="2"/>
    </row>
    <row r="67" ht="14.25" customHeight="1">
      <c r="A67" s="2"/>
    </row>
    <row r="68" ht="14.25" customHeight="1">
      <c r="A68" s="2"/>
    </row>
    <row r="69" ht="14.25" customHeight="1">
      <c r="A69" s="2"/>
    </row>
    <row r="70" ht="14.25" customHeight="1">
      <c r="A70" s="2"/>
    </row>
    <row r="71" ht="14.25" customHeight="1">
      <c r="A71" s="2"/>
    </row>
    <row r="72" ht="14.25" customHeight="1">
      <c r="A72" s="2"/>
    </row>
    <row r="73" ht="14.25" customHeight="1">
      <c r="A73" s="2"/>
    </row>
    <row r="74" ht="14.25" customHeight="1">
      <c r="A74" s="2"/>
    </row>
    <row r="75" ht="14.25" customHeight="1">
      <c r="A75" s="2"/>
    </row>
    <row r="76" ht="14.25" customHeight="1">
      <c r="A76" s="2"/>
    </row>
    <row r="77" ht="14.25" customHeight="1">
      <c r="A77" s="2"/>
    </row>
    <row r="78" ht="14.25" customHeight="1">
      <c r="A78" s="2"/>
    </row>
    <row r="79" ht="14.25" customHeight="1">
      <c r="A79" s="2"/>
    </row>
    <row r="80" ht="14.25" customHeight="1">
      <c r="A80" s="2"/>
    </row>
    <row r="81" ht="14.25" customHeight="1">
      <c r="A81" s="2"/>
    </row>
    <row r="82" ht="14.25" customHeight="1">
      <c r="A82" s="2"/>
    </row>
    <row r="83" ht="14.25" customHeight="1">
      <c r="A83" s="2"/>
    </row>
    <row r="84" ht="14.25" customHeight="1">
      <c r="A84" s="2"/>
    </row>
    <row r="85" ht="14.25" customHeight="1">
      <c r="A85" s="2"/>
    </row>
    <row r="86" ht="14.25" customHeight="1">
      <c r="A86" s="2"/>
    </row>
    <row r="87" ht="14.25" customHeight="1">
      <c r="A87" s="2"/>
    </row>
    <row r="88" ht="14.25" customHeight="1">
      <c r="A88" s="2"/>
    </row>
    <row r="89" ht="14.25" customHeight="1">
      <c r="A89" s="2"/>
    </row>
    <row r="90" ht="14.25" customHeight="1">
      <c r="A90" s="2"/>
    </row>
    <row r="91" ht="14.25" customHeight="1">
      <c r="A91" s="2"/>
    </row>
    <row r="92" ht="14.25" customHeight="1">
      <c r="A92" s="2"/>
    </row>
    <row r="93" ht="14.25" customHeight="1">
      <c r="A93" s="2"/>
    </row>
    <row r="94" ht="14.25" customHeight="1">
      <c r="A94" s="2"/>
    </row>
    <row r="95" ht="14.25" customHeight="1">
      <c r="A95" s="2"/>
    </row>
    <row r="96" ht="14.25" customHeight="1">
      <c r="A96" s="2"/>
    </row>
    <row r="97" ht="14.25" customHeight="1">
      <c r="A97" s="2"/>
    </row>
    <row r="98" ht="14.25" customHeight="1">
      <c r="A98" s="2"/>
    </row>
    <row r="99" ht="14.25" customHeight="1">
      <c r="A99" s="2"/>
    </row>
    <row r="100" ht="14.25" customHeight="1">
      <c r="A100" s="2"/>
    </row>
    <row r="101" ht="14.25" customHeight="1">
      <c r="A101" s="2"/>
    </row>
    <row r="102" ht="14.25" customHeight="1">
      <c r="A102" s="2"/>
    </row>
    <row r="103" ht="14.25" customHeight="1">
      <c r="A103" s="2"/>
    </row>
    <row r="104" ht="14.25" customHeight="1">
      <c r="A104" s="2"/>
    </row>
    <row r="105" ht="14.25" customHeight="1">
      <c r="A105" s="2"/>
    </row>
    <row r="106" ht="14.25" customHeight="1">
      <c r="A106" s="2"/>
    </row>
    <row r="107" ht="14.25" customHeight="1">
      <c r="A107" s="2"/>
    </row>
    <row r="108" ht="14.25" customHeight="1">
      <c r="A108" s="2"/>
    </row>
    <row r="109" ht="14.25" customHeight="1">
      <c r="A109" s="2"/>
    </row>
    <row r="110" ht="14.25" customHeight="1">
      <c r="A110" s="2"/>
    </row>
    <row r="111" ht="14.25" customHeight="1">
      <c r="A111" s="2"/>
    </row>
    <row r="112" ht="14.25" customHeight="1">
      <c r="A112" s="2"/>
    </row>
    <row r="113" ht="14.25" customHeight="1">
      <c r="A113" s="2"/>
    </row>
    <row r="114" ht="14.25" customHeight="1">
      <c r="A114" s="2"/>
    </row>
    <row r="115" ht="14.25" customHeight="1">
      <c r="A115" s="2"/>
    </row>
    <row r="116" ht="14.25" customHeight="1">
      <c r="A116" s="2"/>
    </row>
    <row r="117" ht="14.25" customHeight="1">
      <c r="A117" s="2"/>
    </row>
    <row r="118" ht="14.25" customHeight="1">
      <c r="A118" s="2"/>
    </row>
    <row r="119" ht="14.25" customHeight="1">
      <c r="A119" s="2"/>
    </row>
    <row r="120" ht="14.25" customHeight="1">
      <c r="A120" s="2"/>
    </row>
    <row r="121" ht="14.25" customHeight="1">
      <c r="A121" s="2"/>
    </row>
    <row r="122" ht="14.25" customHeight="1">
      <c r="A122" s="2"/>
    </row>
    <row r="123" ht="14.25" customHeight="1">
      <c r="A123" s="2"/>
    </row>
    <row r="124" ht="14.25" customHeight="1">
      <c r="A124" s="2"/>
    </row>
    <row r="125" ht="14.25" customHeight="1">
      <c r="A125" s="2"/>
    </row>
    <row r="126" ht="14.25" customHeight="1">
      <c r="A126" s="2"/>
    </row>
    <row r="127" ht="14.25" customHeight="1">
      <c r="A127" s="2"/>
    </row>
    <row r="128" ht="14.25" customHeight="1">
      <c r="A128" s="2"/>
    </row>
    <row r="129" ht="14.25" customHeight="1">
      <c r="A129" s="2"/>
    </row>
    <row r="130" ht="14.25" customHeight="1">
      <c r="A130" s="2"/>
    </row>
    <row r="131" ht="14.25" customHeight="1">
      <c r="A131" s="2"/>
    </row>
    <row r="132" ht="14.25" customHeight="1">
      <c r="A132" s="2"/>
    </row>
    <row r="133" ht="14.25" customHeight="1">
      <c r="A133" s="2"/>
    </row>
    <row r="134" ht="14.25" customHeight="1">
      <c r="A134" s="2"/>
    </row>
    <row r="135" ht="14.25" customHeight="1">
      <c r="A135" s="2"/>
    </row>
    <row r="136" ht="14.25" customHeight="1">
      <c r="A136" s="2"/>
    </row>
    <row r="137" ht="14.25" customHeight="1">
      <c r="A137" s="2"/>
    </row>
    <row r="138" ht="14.25" customHeight="1">
      <c r="A138" s="2"/>
    </row>
    <row r="139" ht="14.25" customHeight="1">
      <c r="A139" s="2"/>
    </row>
    <row r="140" ht="14.25" customHeight="1">
      <c r="A140" s="2"/>
    </row>
    <row r="141" ht="14.25" customHeight="1">
      <c r="A141" s="2"/>
    </row>
    <row r="142" ht="14.25" customHeight="1">
      <c r="A142" s="2"/>
    </row>
    <row r="143" ht="14.25" customHeight="1">
      <c r="A143" s="2"/>
    </row>
    <row r="144" ht="14.25" customHeight="1">
      <c r="A144" s="2"/>
    </row>
    <row r="145" ht="14.25" customHeight="1">
      <c r="A145" s="2"/>
    </row>
    <row r="146" ht="14.25" customHeight="1">
      <c r="A146" s="2"/>
    </row>
    <row r="147" ht="14.25" customHeight="1">
      <c r="A147" s="2"/>
    </row>
    <row r="148" ht="14.25" customHeight="1">
      <c r="A148" s="2"/>
    </row>
    <row r="149" ht="14.25" customHeight="1">
      <c r="A149" s="2"/>
    </row>
    <row r="150" ht="14.25" customHeight="1">
      <c r="A150" s="2"/>
    </row>
    <row r="151" ht="14.25" customHeight="1">
      <c r="A151" s="2"/>
    </row>
    <row r="152" ht="14.25" customHeight="1">
      <c r="A152" s="2"/>
    </row>
    <row r="153" ht="14.25" customHeight="1">
      <c r="A153" s="2"/>
    </row>
    <row r="154" ht="14.25" customHeight="1">
      <c r="A154" s="2"/>
    </row>
    <row r="155" ht="14.25" customHeight="1">
      <c r="A155" s="2"/>
    </row>
    <row r="156" ht="14.25" customHeight="1">
      <c r="A156" s="2"/>
    </row>
    <row r="157" ht="14.25" customHeight="1">
      <c r="A157" s="2"/>
    </row>
    <row r="158" ht="14.25" customHeight="1">
      <c r="A158" s="2"/>
    </row>
    <row r="159" ht="14.25" customHeight="1">
      <c r="A159" s="2"/>
    </row>
    <row r="160" ht="14.25" customHeight="1">
      <c r="A160" s="2"/>
    </row>
    <row r="161" ht="14.25" customHeight="1">
      <c r="A161" s="2"/>
    </row>
    <row r="162" ht="14.25" customHeight="1">
      <c r="A162" s="2"/>
    </row>
    <row r="163" ht="14.25" customHeight="1">
      <c r="A163" s="2"/>
    </row>
    <row r="164" ht="14.25" customHeight="1">
      <c r="A164" s="2"/>
    </row>
    <row r="165" ht="14.25" customHeight="1">
      <c r="A165" s="2"/>
    </row>
    <row r="166" ht="14.25" customHeight="1">
      <c r="A166" s="2"/>
    </row>
    <row r="167" ht="14.25" customHeight="1">
      <c r="A167" s="2"/>
    </row>
    <row r="168" ht="14.25" customHeight="1">
      <c r="A168" s="2"/>
    </row>
    <row r="169" ht="14.25" customHeight="1">
      <c r="A169" s="2"/>
    </row>
    <row r="170" ht="14.25" customHeight="1">
      <c r="A170" s="2"/>
    </row>
    <row r="171" ht="14.25" customHeight="1">
      <c r="A171" s="2"/>
    </row>
    <row r="172" ht="14.25" customHeight="1">
      <c r="A172" s="2"/>
    </row>
    <row r="173" ht="14.25" customHeight="1">
      <c r="A173" s="2"/>
    </row>
    <row r="174" ht="14.25" customHeight="1">
      <c r="A174" s="2"/>
    </row>
    <row r="175" ht="14.25" customHeight="1">
      <c r="A175" s="2"/>
    </row>
    <row r="176" ht="14.25" customHeight="1">
      <c r="A176" s="2"/>
    </row>
    <row r="177" ht="14.25" customHeight="1">
      <c r="A177" s="2"/>
    </row>
    <row r="178" ht="14.25" customHeight="1">
      <c r="A178" s="2"/>
    </row>
    <row r="179" ht="14.25" customHeight="1">
      <c r="A179" s="2"/>
    </row>
    <row r="180" ht="14.25" customHeight="1">
      <c r="A180" s="2"/>
    </row>
    <row r="181" ht="14.25" customHeight="1">
      <c r="A181" s="2"/>
    </row>
    <row r="182" ht="14.25" customHeight="1">
      <c r="A182" s="2"/>
    </row>
    <row r="183" ht="14.25" customHeight="1">
      <c r="A183" s="2"/>
    </row>
    <row r="184" ht="14.25" customHeight="1">
      <c r="A184" s="2"/>
    </row>
    <row r="185" ht="14.25" customHeight="1">
      <c r="A185" s="2"/>
    </row>
    <row r="186" ht="14.25" customHeight="1">
      <c r="A186" s="2"/>
    </row>
    <row r="187" ht="14.25" customHeight="1">
      <c r="A187" s="2"/>
    </row>
    <row r="188" ht="14.25" customHeight="1">
      <c r="A188" s="2"/>
    </row>
    <row r="189" ht="14.25" customHeight="1">
      <c r="A189" s="2"/>
    </row>
    <row r="190" ht="14.25" customHeight="1">
      <c r="A190" s="2"/>
    </row>
    <row r="191" ht="14.25" customHeight="1">
      <c r="A191" s="2"/>
    </row>
    <row r="192" ht="14.25" customHeight="1">
      <c r="A192" s="2"/>
    </row>
    <row r="193" ht="14.25" customHeight="1">
      <c r="A193" s="2"/>
    </row>
    <row r="194" ht="14.25" customHeight="1">
      <c r="A194" s="2"/>
    </row>
    <row r="195" ht="14.25" customHeight="1">
      <c r="A195" s="2"/>
    </row>
    <row r="196" ht="14.25" customHeight="1">
      <c r="A196" s="2"/>
    </row>
    <row r="197" ht="14.25" customHeight="1">
      <c r="A197" s="2"/>
    </row>
    <row r="198" ht="14.25" customHeight="1">
      <c r="A198" s="2"/>
    </row>
    <row r="199" ht="14.25" customHeight="1">
      <c r="A199" s="2"/>
    </row>
    <row r="200" ht="14.25" customHeight="1">
      <c r="A200" s="2"/>
    </row>
    <row r="201" ht="14.25" customHeight="1">
      <c r="A201" s="2"/>
    </row>
    <row r="202" ht="14.25" customHeight="1">
      <c r="A202" s="2"/>
    </row>
    <row r="203" ht="14.25" customHeight="1">
      <c r="A203" s="2"/>
    </row>
    <row r="204" ht="14.25" customHeight="1">
      <c r="A204" s="2"/>
    </row>
    <row r="205" ht="14.25" customHeight="1">
      <c r="A205" s="2"/>
    </row>
    <row r="206" ht="14.25" customHeight="1">
      <c r="A206" s="2"/>
    </row>
    <row r="207" ht="14.25" customHeight="1">
      <c r="A207" s="2"/>
    </row>
    <row r="208" ht="14.25" customHeight="1">
      <c r="A208" s="2"/>
    </row>
    <row r="209" ht="14.25" customHeight="1">
      <c r="A209" s="2"/>
    </row>
    <row r="210" ht="14.25" customHeight="1">
      <c r="A210" s="2"/>
    </row>
    <row r="211" ht="14.25" customHeight="1">
      <c r="A211" s="2"/>
    </row>
    <row r="212" ht="14.25" customHeight="1">
      <c r="A212" s="2"/>
    </row>
    <row r="213" ht="14.25" customHeight="1">
      <c r="A213" s="2"/>
    </row>
    <row r="214" ht="14.25" customHeight="1">
      <c r="A214" s="2"/>
    </row>
    <row r="215" ht="14.25" customHeight="1">
      <c r="A215" s="2"/>
    </row>
    <row r="216" ht="14.25" customHeight="1">
      <c r="A216" s="2"/>
    </row>
    <row r="217" ht="14.25" customHeight="1">
      <c r="A217" s="2"/>
    </row>
    <row r="218" ht="14.25" customHeight="1">
      <c r="A218" s="2"/>
    </row>
    <row r="219" ht="14.25" customHeight="1">
      <c r="A219" s="2"/>
    </row>
    <row r="220" ht="14.25" customHeight="1">
      <c r="A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44.0"/>
    <col customWidth="1" min="3" max="3" width="14.0"/>
    <col customWidth="1" min="4" max="4" width="60.0"/>
    <col customWidth="1" min="5" max="6" width="8.57"/>
  </cols>
  <sheetData>
    <row r="1" ht="14.25" customHeight="1">
      <c r="A1" s="4" t="s">
        <v>11</v>
      </c>
      <c r="B1" s="4" t="s">
        <v>12</v>
      </c>
      <c r="C1" s="4" t="s">
        <v>13</v>
      </c>
      <c r="D1" s="4" t="s">
        <v>14</v>
      </c>
    </row>
    <row r="2" ht="14.25" customHeight="1">
      <c r="A2" s="5" t="s">
        <v>15</v>
      </c>
      <c r="B2" s="5" t="s">
        <v>16</v>
      </c>
      <c r="C2" s="5" t="s">
        <v>17</v>
      </c>
      <c r="D2" s="5" t="s">
        <v>18</v>
      </c>
    </row>
    <row r="3" ht="14.25" customHeight="1">
      <c r="A3" s="5" t="s">
        <v>19</v>
      </c>
      <c r="B3" s="5" t="s">
        <v>20</v>
      </c>
      <c r="C3" s="5" t="s">
        <v>17</v>
      </c>
      <c r="D3" s="5" t="s">
        <v>21</v>
      </c>
    </row>
    <row r="4" ht="14.25" customHeight="1">
      <c r="A4" s="5" t="s">
        <v>22</v>
      </c>
      <c r="B4" s="5" t="s">
        <v>23</v>
      </c>
      <c r="C4" s="5" t="s">
        <v>17</v>
      </c>
      <c r="D4" s="5" t="s">
        <v>24</v>
      </c>
    </row>
    <row r="5" ht="14.25" customHeight="1">
      <c r="A5" s="5" t="s">
        <v>25</v>
      </c>
      <c r="B5" s="5" t="s">
        <v>26</v>
      </c>
      <c r="C5" s="5" t="s">
        <v>17</v>
      </c>
      <c r="D5" s="5" t="s">
        <v>27</v>
      </c>
    </row>
    <row r="6" ht="14.25" customHeight="1">
      <c r="A6" s="5" t="s">
        <v>28</v>
      </c>
      <c r="B6" s="5" t="s">
        <v>29</v>
      </c>
      <c r="C6" s="5" t="s">
        <v>17</v>
      </c>
      <c r="D6" s="5" t="s">
        <v>30</v>
      </c>
    </row>
    <row r="7" ht="14.25" customHeight="1">
      <c r="A7" s="5" t="s">
        <v>31</v>
      </c>
      <c r="B7" s="5" t="s">
        <v>32</v>
      </c>
      <c r="C7" s="5" t="s">
        <v>17</v>
      </c>
      <c r="D7" s="5" t="s">
        <v>33</v>
      </c>
    </row>
    <row r="8" ht="14.25" customHeight="1">
      <c r="A8" s="5" t="s">
        <v>34</v>
      </c>
      <c r="B8" s="5" t="s">
        <v>35</v>
      </c>
      <c r="C8" s="5" t="s">
        <v>17</v>
      </c>
      <c r="D8" s="5" t="s">
        <v>36</v>
      </c>
    </row>
    <row r="9" ht="14.25" customHeight="1">
      <c r="A9" s="5" t="s">
        <v>37</v>
      </c>
      <c r="B9" s="5" t="s">
        <v>38</v>
      </c>
      <c r="C9" s="5" t="s">
        <v>17</v>
      </c>
      <c r="D9" s="5" t="s">
        <v>39</v>
      </c>
    </row>
    <row r="10" ht="14.25" customHeight="1"/>
    <row r="11" ht="14.25" customHeight="1">
      <c r="A11" s="6" t="s">
        <v>40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6.0"/>
    <col customWidth="1" min="3" max="5" width="10.0"/>
    <col customWidth="1" min="6" max="6" width="13.0"/>
    <col customWidth="1" min="7" max="7" width="12.0"/>
  </cols>
  <sheetData>
    <row r="1" ht="26.25" customHeight="1">
      <c r="A1" s="4" t="s">
        <v>41</v>
      </c>
      <c r="B1" s="4" t="s">
        <v>42</v>
      </c>
      <c r="C1" s="4" t="s">
        <v>43</v>
      </c>
      <c r="D1" s="4" t="s">
        <v>44</v>
      </c>
      <c r="E1" s="4" t="s">
        <v>45</v>
      </c>
      <c r="F1" s="4" t="s">
        <v>46</v>
      </c>
      <c r="G1" s="4" t="s">
        <v>47</v>
      </c>
    </row>
    <row r="2" ht="15.0" customHeight="1">
      <c r="A2" s="7" t="s">
        <v>48</v>
      </c>
      <c r="B2" s="7">
        <f>COUNTIF('Skenario Uji'!$B$2:$B$54,A2)</f>
        <v>4</v>
      </c>
      <c r="C2" s="7">
        <f>COUNTIFS('Skenario Uji'!$B$2:$B$54,$A2,'Skenario Uji'!$I$2:$I$54,"Lulus")</f>
        <v>4</v>
      </c>
      <c r="D2" s="7">
        <f>COUNTIFS('Skenario Uji'!$B$2:$B$54,$A2,'Skenario Uji'!$I$2:$I$54,"Gagal")</f>
        <v>0</v>
      </c>
      <c r="E2" s="7">
        <f>COUNTIFS('Skenario Uji'!$B$2:$B$54,$A2,'Skenario Uji'!$I$2:$I$54,"Diblokir")</f>
        <v>0</v>
      </c>
      <c r="F2" s="7">
        <f>COUNTIFS('Skenario Uji'!$B$2:$B$54,$A2,'Skenario Uji'!$I$2:$I$54,"Belum diuji")</f>
        <v>0</v>
      </c>
      <c r="G2" s="8">
        <f t="shared" ref="G2:G17" si="1">IF(B2=0,0,(B2-F2)/B2)</f>
        <v>1</v>
      </c>
    </row>
    <row r="3" ht="15.0" customHeight="1">
      <c r="A3" s="7" t="s">
        <v>49</v>
      </c>
      <c r="B3" s="7">
        <f>COUNTIF('Skenario Uji'!$B$2:$B$54,A3)</f>
        <v>7</v>
      </c>
      <c r="C3" s="7">
        <f>COUNTIFS('Skenario Uji'!$B$2:$B$54,$A3,'Skenario Uji'!$I$2:$I$54,"Lulus")</f>
        <v>7</v>
      </c>
      <c r="D3" s="7">
        <f>COUNTIFS('Skenario Uji'!$B$2:$B$54,$A3,'Skenario Uji'!$I$2:$I$54,"Gagal")</f>
        <v>0</v>
      </c>
      <c r="E3" s="7">
        <f>COUNTIFS('Skenario Uji'!$B$2:$B$54,$A3,'Skenario Uji'!$I$2:$I$54,"Diblokir")</f>
        <v>0</v>
      </c>
      <c r="F3" s="7">
        <f>COUNTIFS('Skenario Uji'!$B$2:$B$54,$A3,'Skenario Uji'!$I$2:$I$54,"Belum diuji")</f>
        <v>0</v>
      </c>
      <c r="G3" s="8">
        <f t="shared" si="1"/>
        <v>1</v>
      </c>
    </row>
    <row r="4" ht="15.0" customHeight="1">
      <c r="A4" s="7" t="s">
        <v>50</v>
      </c>
      <c r="B4" s="7">
        <f>COUNTIF('Skenario Uji'!$B$2:$B$54,A4)</f>
        <v>1</v>
      </c>
      <c r="C4" s="7">
        <f>COUNTIFS('Skenario Uji'!$B$2:$B$54,$A4,'Skenario Uji'!$I$2:$I$54,"Lulus")</f>
        <v>1</v>
      </c>
      <c r="D4" s="7">
        <f>COUNTIFS('Skenario Uji'!$B$2:$B$54,$A4,'Skenario Uji'!$I$2:$I$54,"Gagal")</f>
        <v>0</v>
      </c>
      <c r="E4" s="7">
        <f>COUNTIFS('Skenario Uji'!$B$2:$B$54,$A4,'Skenario Uji'!$I$2:$I$54,"Diblokir")</f>
        <v>0</v>
      </c>
      <c r="F4" s="7">
        <f>COUNTIFS('Skenario Uji'!$B$2:$B$54,$A4,'Skenario Uji'!$I$2:$I$54,"Belum diuji")</f>
        <v>0</v>
      </c>
      <c r="G4" s="8">
        <f t="shared" si="1"/>
        <v>1</v>
      </c>
    </row>
    <row r="5" ht="15.0" customHeight="1">
      <c r="A5" s="7" t="s">
        <v>51</v>
      </c>
      <c r="B5" s="7">
        <f>COUNTIF('Skenario Uji'!$B$2:$B$54,A5)</f>
        <v>6</v>
      </c>
      <c r="C5" s="7">
        <f>COUNTIFS('Skenario Uji'!$B$2:$B$54,$A5,'Skenario Uji'!$I$2:$I$54,"Lulus")</f>
        <v>6</v>
      </c>
      <c r="D5" s="7">
        <f>COUNTIFS('Skenario Uji'!$B$2:$B$54,$A5,'Skenario Uji'!$I$2:$I$54,"Gagal")</f>
        <v>0</v>
      </c>
      <c r="E5" s="7">
        <f>COUNTIFS('Skenario Uji'!$B$2:$B$54,$A5,'Skenario Uji'!$I$2:$I$54,"Diblokir")</f>
        <v>0</v>
      </c>
      <c r="F5" s="7">
        <f>COUNTIFS('Skenario Uji'!$B$2:$B$54,$A5,'Skenario Uji'!$I$2:$I$54,"Belum diuji")</f>
        <v>0</v>
      </c>
      <c r="G5" s="8">
        <f t="shared" si="1"/>
        <v>1</v>
      </c>
    </row>
    <row r="6" ht="15.0" customHeight="1">
      <c r="A6" s="7" t="s">
        <v>52</v>
      </c>
      <c r="B6" s="7">
        <f>COUNTIF('Skenario Uji'!$B$2:$B$54,A6)</f>
        <v>6</v>
      </c>
      <c r="C6" s="7">
        <f>COUNTIFS('Skenario Uji'!$B$2:$B$54,$A6,'Skenario Uji'!$I$2:$I$54,"Lulus")</f>
        <v>2</v>
      </c>
      <c r="D6" s="7">
        <f>COUNTIFS('Skenario Uji'!$B$2:$B$54,$A6,'Skenario Uji'!$I$2:$I$54,"Gagal")</f>
        <v>4</v>
      </c>
      <c r="E6" s="7">
        <f>COUNTIFS('Skenario Uji'!$B$2:$B$54,$A6,'Skenario Uji'!$I$2:$I$54,"Diblokir")</f>
        <v>0</v>
      </c>
      <c r="F6" s="7">
        <f>COUNTIFS('Skenario Uji'!$B$2:$B$54,$A6,'Skenario Uji'!$I$2:$I$54,"Belum diuji")</f>
        <v>0</v>
      </c>
      <c r="G6" s="8">
        <f t="shared" si="1"/>
        <v>1</v>
      </c>
    </row>
    <row r="7" ht="15.0" customHeight="1">
      <c r="A7" s="7" t="s">
        <v>53</v>
      </c>
      <c r="B7" s="7">
        <f>COUNTIF('Skenario Uji'!$B$2:$B$54,A7)</f>
        <v>8</v>
      </c>
      <c r="C7" s="7">
        <f>COUNTIFS('Skenario Uji'!$B$2:$B$54,$A7,'Skenario Uji'!$I$2:$I$54,"Lulus")</f>
        <v>6</v>
      </c>
      <c r="D7" s="7">
        <f>COUNTIFS('Skenario Uji'!$B$2:$B$54,$A7,'Skenario Uji'!$I$2:$I$54,"Gagal")</f>
        <v>2</v>
      </c>
      <c r="E7" s="7">
        <f>COUNTIFS('Skenario Uji'!$B$2:$B$54,$A7,'Skenario Uji'!$I$2:$I$54,"Diblokir")</f>
        <v>0</v>
      </c>
      <c r="F7" s="7">
        <f>COUNTIFS('Skenario Uji'!$B$2:$B$54,$A7,'Skenario Uji'!$I$2:$I$54,"Belum diuji")</f>
        <v>0</v>
      </c>
      <c r="G7" s="8">
        <f t="shared" si="1"/>
        <v>1</v>
      </c>
    </row>
    <row r="8" ht="15.0" customHeight="1">
      <c r="A8" s="7" t="s">
        <v>54</v>
      </c>
      <c r="B8" s="7">
        <f>COUNTIF('Skenario Uji'!$B$2:$B$54,A8)</f>
        <v>4</v>
      </c>
      <c r="C8" s="7">
        <f>COUNTIFS('Skenario Uji'!$B$2:$B$54,$A8,'Skenario Uji'!$I$2:$I$54,"Lulus")</f>
        <v>3</v>
      </c>
      <c r="D8" s="7">
        <f>COUNTIFS('Skenario Uji'!$B$2:$B$54,$A8,'Skenario Uji'!$I$2:$I$54,"Gagal")</f>
        <v>1</v>
      </c>
      <c r="E8" s="7">
        <f>COUNTIFS('Skenario Uji'!$B$2:$B$54,$A8,'Skenario Uji'!$I$2:$I$54,"Diblokir")</f>
        <v>0</v>
      </c>
      <c r="F8" s="7">
        <f>COUNTIFS('Skenario Uji'!$B$2:$B$54,$A8,'Skenario Uji'!$I$2:$I$54,"Belum diuji")</f>
        <v>0</v>
      </c>
      <c r="G8" s="8">
        <f t="shared" si="1"/>
        <v>1</v>
      </c>
    </row>
    <row r="9" ht="15.0" customHeight="1">
      <c r="A9" s="7" t="s">
        <v>55</v>
      </c>
      <c r="B9" s="7">
        <f>COUNTIF('Skenario Uji'!$B$2:$B$54,A9)</f>
        <v>3</v>
      </c>
      <c r="C9" s="7">
        <f>COUNTIFS('Skenario Uji'!$B$2:$B$54,$A9,'Skenario Uji'!$I$2:$I$54,"Lulus")</f>
        <v>1</v>
      </c>
      <c r="D9" s="7">
        <f>COUNTIFS('Skenario Uji'!$B$2:$B$54,$A9,'Skenario Uji'!$I$2:$I$54,"Gagal")</f>
        <v>2</v>
      </c>
      <c r="E9" s="7">
        <f>COUNTIFS('Skenario Uji'!$B$2:$B$54,$A9,'Skenario Uji'!$I$2:$I$54,"Diblokir")</f>
        <v>0</v>
      </c>
      <c r="F9" s="7">
        <f>COUNTIFS('Skenario Uji'!$B$2:$B$54,$A9,'Skenario Uji'!$I$2:$I$54,"Belum diuji")</f>
        <v>0</v>
      </c>
      <c r="G9" s="8">
        <f t="shared" si="1"/>
        <v>1</v>
      </c>
    </row>
    <row r="10" ht="15.0" customHeight="1">
      <c r="A10" s="7" t="s">
        <v>56</v>
      </c>
      <c r="B10" s="7">
        <f>COUNTIF('Skenario Uji'!$B$2:$B$54,A10)</f>
        <v>1</v>
      </c>
      <c r="C10" s="7">
        <f>COUNTIFS('Skenario Uji'!$B$2:$B$54,$A10,'Skenario Uji'!$I$2:$I$54,"Lulus")</f>
        <v>1</v>
      </c>
      <c r="D10" s="7">
        <f>COUNTIFS('Skenario Uji'!$B$2:$B$54,$A10,'Skenario Uji'!$I$2:$I$54,"Gagal")</f>
        <v>0</v>
      </c>
      <c r="E10" s="7">
        <f>COUNTIFS('Skenario Uji'!$B$2:$B$54,$A10,'Skenario Uji'!$I$2:$I$54,"Diblokir")</f>
        <v>0</v>
      </c>
      <c r="F10" s="7">
        <f>COUNTIFS('Skenario Uji'!$B$2:$B$54,$A10,'Skenario Uji'!$I$2:$I$54,"Belum diuji")</f>
        <v>0</v>
      </c>
      <c r="G10" s="8">
        <f t="shared" si="1"/>
        <v>1</v>
      </c>
    </row>
    <row r="11" ht="15.0" customHeight="1">
      <c r="A11" s="7" t="s">
        <v>57</v>
      </c>
      <c r="B11" s="7">
        <f>COUNTIF('Skenario Uji'!$B$2:$B$54,A11)</f>
        <v>2</v>
      </c>
      <c r="C11" s="7">
        <f>COUNTIFS('Skenario Uji'!$B$2:$B$54,$A11,'Skenario Uji'!$I$2:$I$54,"Lulus")</f>
        <v>0</v>
      </c>
      <c r="D11" s="7">
        <f>COUNTIFS('Skenario Uji'!$B$2:$B$54,$A11,'Skenario Uji'!$I$2:$I$54,"Gagal")</f>
        <v>2</v>
      </c>
      <c r="E11" s="7">
        <f>COUNTIFS('Skenario Uji'!$B$2:$B$54,$A11,'Skenario Uji'!$I$2:$I$54,"Diblokir")</f>
        <v>0</v>
      </c>
      <c r="F11" s="7">
        <f>COUNTIFS('Skenario Uji'!$B$2:$B$54,$A11,'Skenario Uji'!$I$2:$I$54,"Belum diuji")</f>
        <v>0</v>
      </c>
      <c r="G11" s="8">
        <f t="shared" si="1"/>
        <v>1</v>
      </c>
    </row>
    <row r="12" ht="15.0" customHeight="1">
      <c r="A12" s="7" t="s">
        <v>58</v>
      </c>
      <c r="B12" s="7">
        <f>COUNTIF('Skenario Uji'!$B$2:$B$54,A12)</f>
        <v>1</v>
      </c>
      <c r="C12" s="7">
        <f>COUNTIFS('Skenario Uji'!$B$2:$B$54,$A12,'Skenario Uji'!$I$2:$I$54,"Lulus")</f>
        <v>1</v>
      </c>
      <c r="D12" s="7">
        <f>COUNTIFS('Skenario Uji'!$B$2:$B$54,$A12,'Skenario Uji'!$I$2:$I$54,"Gagal")</f>
        <v>0</v>
      </c>
      <c r="E12" s="7">
        <f>COUNTIFS('Skenario Uji'!$B$2:$B$54,$A12,'Skenario Uji'!$I$2:$I$54,"Diblokir")</f>
        <v>0</v>
      </c>
      <c r="F12" s="7">
        <f>COUNTIFS('Skenario Uji'!$B$2:$B$54,$A12,'Skenario Uji'!$I$2:$I$54,"Belum diuji")</f>
        <v>0</v>
      </c>
      <c r="G12" s="8">
        <f t="shared" si="1"/>
        <v>1</v>
      </c>
    </row>
    <row r="13" ht="15.0" customHeight="1">
      <c r="A13" s="7" t="s">
        <v>59</v>
      </c>
      <c r="B13" s="7">
        <f>COUNTIF('Skenario Uji'!$B$2:$B$54,A13)</f>
        <v>2</v>
      </c>
      <c r="C13" s="7">
        <f>COUNTIFS('Skenario Uji'!$B$2:$B$54,$A13,'Skenario Uji'!$I$2:$I$54,"Lulus")</f>
        <v>1</v>
      </c>
      <c r="D13" s="7">
        <f>COUNTIFS('Skenario Uji'!$B$2:$B$54,$A13,'Skenario Uji'!$I$2:$I$54,"Gagal")</f>
        <v>0</v>
      </c>
      <c r="E13" s="7">
        <f>COUNTIFS('Skenario Uji'!$B$2:$B$54,$A13,'Skenario Uji'!$I$2:$I$54,"Diblokir")</f>
        <v>0</v>
      </c>
      <c r="F13" s="7">
        <f>COUNTIFS('Skenario Uji'!$B$2:$B$54,$A13,'Skenario Uji'!$I$2:$I$54,"Belum diuji")</f>
        <v>1</v>
      </c>
      <c r="G13" s="8">
        <f t="shared" si="1"/>
        <v>0.5</v>
      </c>
    </row>
    <row r="14" ht="15.0" customHeight="1">
      <c r="A14" s="7" t="s">
        <v>60</v>
      </c>
      <c r="B14" s="7">
        <f>COUNTIF('Skenario Uji'!$B$2:$B$54,A14)</f>
        <v>2</v>
      </c>
      <c r="C14" s="7">
        <f>COUNTIFS('Skenario Uji'!$B$2:$B$54,$A14,'Skenario Uji'!$I$2:$I$54,"Lulus")</f>
        <v>2</v>
      </c>
      <c r="D14" s="7">
        <f>COUNTIFS('Skenario Uji'!$B$2:$B$54,$A14,'Skenario Uji'!$I$2:$I$54,"Gagal")</f>
        <v>0</v>
      </c>
      <c r="E14" s="7">
        <f>COUNTIFS('Skenario Uji'!$B$2:$B$54,$A14,'Skenario Uji'!$I$2:$I$54,"Diblokir")</f>
        <v>0</v>
      </c>
      <c r="F14" s="7">
        <f>COUNTIFS('Skenario Uji'!$B$2:$B$54,$A14,'Skenario Uji'!$I$2:$I$54,"Belum diuji")</f>
        <v>0</v>
      </c>
      <c r="G14" s="8">
        <f t="shared" si="1"/>
        <v>1</v>
      </c>
    </row>
    <row r="15" ht="15.0" customHeight="1">
      <c r="A15" s="7" t="s">
        <v>61</v>
      </c>
      <c r="B15" s="7">
        <f>COUNTIF('Skenario Uji'!$B$2:$B$54,A15)</f>
        <v>4</v>
      </c>
      <c r="C15" s="7">
        <f>COUNTIFS('Skenario Uji'!$B$2:$B$54,$A15,'Skenario Uji'!$I$2:$I$54,"Lulus")</f>
        <v>4</v>
      </c>
      <c r="D15" s="7">
        <f>COUNTIFS('Skenario Uji'!$B$2:$B$54,$A15,'Skenario Uji'!$I$2:$I$54,"Gagal")</f>
        <v>0</v>
      </c>
      <c r="E15" s="7">
        <f>COUNTIFS('Skenario Uji'!$B$2:$B$54,$A15,'Skenario Uji'!$I$2:$I$54,"Diblokir")</f>
        <v>0</v>
      </c>
      <c r="F15" s="7">
        <f>COUNTIFS('Skenario Uji'!$B$2:$B$54,$A15,'Skenario Uji'!$I$2:$I$54,"Belum diuji")</f>
        <v>0</v>
      </c>
      <c r="G15" s="8">
        <f t="shared" si="1"/>
        <v>1</v>
      </c>
    </row>
    <row r="16" ht="15.0" customHeight="1">
      <c r="A16" s="7" t="s">
        <v>62</v>
      </c>
      <c r="B16" s="7">
        <f>COUNTIF('Skenario Uji'!$B$2:$B$54,A16)</f>
        <v>2</v>
      </c>
      <c r="C16" s="7">
        <f>COUNTIFS('Skenario Uji'!$B$2:$B$54,$A16,'Skenario Uji'!$I$2:$I$54,"Lulus")</f>
        <v>2</v>
      </c>
      <c r="D16" s="7">
        <f>COUNTIFS('Skenario Uji'!$B$2:$B$54,$A16,'Skenario Uji'!$I$2:$I$54,"Gagal")</f>
        <v>0</v>
      </c>
      <c r="E16" s="7">
        <f>COUNTIFS('Skenario Uji'!$B$2:$B$54,$A16,'Skenario Uji'!$I$2:$I$54,"Diblokir")</f>
        <v>0</v>
      </c>
      <c r="F16" s="7">
        <f>COUNTIFS('Skenario Uji'!$B$2:$B$54,$A16,'Skenario Uji'!$I$2:$I$54,"Belum diuji")</f>
        <v>0</v>
      </c>
      <c r="G16" s="8">
        <f t="shared" si="1"/>
        <v>1</v>
      </c>
    </row>
    <row r="17" ht="15.0" customHeight="1">
      <c r="A17" s="9" t="s">
        <v>63</v>
      </c>
      <c r="B17" s="9">
        <f t="shared" ref="B17:F17" si="2">SUM(B2:B16)</f>
        <v>53</v>
      </c>
      <c r="C17" s="9">
        <f t="shared" si="2"/>
        <v>41</v>
      </c>
      <c r="D17" s="9">
        <f t="shared" si="2"/>
        <v>11</v>
      </c>
      <c r="E17" s="9">
        <f t="shared" si="2"/>
        <v>0</v>
      </c>
      <c r="F17" s="9">
        <f t="shared" si="2"/>
        <v>1</v>
      </c>
      <c r="G17" s="10">
        <f t="shared" si="1"/>
        <v>0.9811320755</v>
      </c>
    </row>
    <row r="18" ht="14.25" customHeight="1">
      <c r="A18" s="2"/>
      <c r="B18" s="2"/>
      <c r="C18" s="2"/>
      <c r="D18" s="2"/>
      <c r="E18" s="2"/>
      <c r="F18" s="2"/>
      <c r="G18" s="2"/>
    </row>
    <row r="19" ht="15.0" customHeight="1">
      <c r="A19" s="7" t="s">
        <v>64</v>
      </c>
      <c r="B19" s="7">
        <f>COUNTA('Rekonsiliasi WP'!$A$2:$A$12)</f>
        <v>11</v>
      </c>
      <c r="C19" s="7">
        <f>COUNTIF('Rekonsiliasi WP'!$H$2:$H$12,"Lulus")</f>
        <v>7</v>
      </c>
      <c r="D19" s="7">
        <f>COUNTIF('Rekonsiliasi WP'!$H$2:$H$12,"Gagal")</f>
        <v>4</v>
      </c>
      <c r="E19" s="7">
        <f>COUNTIF('Rekonsiliasi WP'!$H$2:$H$12,"Diblokir")</f>
        <v>0</v>
      </c>
      <c r="F19" s="7">
        <f>COUNTIF('Rekonsiliasi WP'!$H$2:$H$12,"Belum diuji")</f>
        <v>0</v>
      </c>
      <c r="G19" s="8">
        <f>IF(B19=0,0,(B19-F19)/B19)</f>
        <v>1</v>
      </c>
    </row>
    <row r="20" ht="14.25" customHeight="1">
      <c r="A20" s="2"/>
      <c r="B20" s="2"/>
      <c r="C20" s="2"/>
      <c r="D20" s="2"/>
      <c r="E20" s="2"/>
      <c r="F20" s="2"/>
      <c r="G20" s="2"/>
    </row>
    <row r="21" ht="26.25" customHeight="1">
      <c r="A21" s="4" t="s">
        <v>65</v>
      </c>
      <c r="B21" s="4" t="s">
        <v>66</v>
      </c>
      <c r="C21" s="4" t="s">
        <v>64</v>
      </c>
      <c r="D21" s="2"/>
      <c r="E21" s="2"/>
      <c r="F21" s="2"/>
      <c r="G21" s="2"/>
    </row>
    <row r="22" ht="14.25" customHeight="1">
      <c r="A22" s="7" t="s">
        <v>67</v>
      </c>
      <c r="B22" s="7">
        <f>COUNTIF('Skenario Uji'!$O$2:$O$54,$A22)</f>
        <v>25</v>
      </c>
      <c r="C22" s="7">
        <f>COUNTIF('Rekonsiliasi WP'!$N$2:$N$12,$A22)</f>
        <v>7</v>
      </c>
      <c r="D22" s="2"/>
      <c r="E22" s="2"/>
      <c r="F22" s="2"/>
      <c r="G22" s="2"/>
    </row>
    <row r="23" ht="14.25" customHeight="1">
      <c r="A23" s="7" t="s">
        <v>68</v>
      </c>
      <c r="B23" s="7">
        <f>COUNTIF('Skenario Uji'!$O$2:$O$54,$A23)</f>
        <v>1</v>
      </c>
      <c r="C23" s="7">
        <f>COUNTIF('Rekonsiliasi WP'!$N$2:$N$12,$A23)</f>
        <v>0</v>
      </c>
      <c r="D23" s="2"/>
      <c r="E23" s="2"/>
      <c r="F23" s="2"/>
      <c r="G23" s="2"/>
    </row>
    <row r="24" ht="14.25" customHeight="1">
      <c r="A24" s="7" t="s">
        <v>69</v>
      </c>
      <c r="B24" s="7">
        <f>COUNTIF('Skenario Uji'!$O$2:$O$54,$A24)</f>
        <v>27</v>
      </c>
      <c r="C24" s="7">
        <f>COUNTIF('Rekonsiliasi WP'!$N$2:$N$12,$A24)</f>
        <v>4</v>
      </c>
      <c r="D24" s="2"/>
      <c r="E24" s="2"/>
      <c r="F24" s="2"/>
      <c r="G24" s="2"/>
    </row>
    <row r="25" ht="14.25" customHeight="1">
      <c r="A25" s="7" t="s">
        <v>63</v>
      </c>
      <c r="B25" s="7">
        <f t="shared" ref="B25:C25" si="3">SUM(B22:B24)</f>
        <v>53</v>
      </c>
      <c r="C25" s="7">
        <f t="shared" si="3"/>
        <v>11</v>
      </c>
      <c r="D25" s="2"/>
      <c r="E25" s="2"/>
      <c r="F25" s="2"/>
      <c r="G25" s="2"/>
    </row>
    <row r="26" ht="14.25" customHeight="1">
      <c r="A26" s="2"/>
      <c r="B26" s="2"/>
      <c r="C26" s="2"/>
      <c r="D26" s="2"/>
      <c r="E26" s="2"/>
      <c r="F26" s="2"/>
      <c r="G26" s="2"/>
    </row>
    <row r="27" ht="14.25" customHeight="1">
      <c r="A27" s="2"/>
      <c r="B27" s="2"/>
      <c r="C27" s="2"/>
      <c r="D27" s="2"/>
      <c r="E27" s="2"/>
      <c r="F27" s="2"/>
      <c r="G27" s="2"/>
    </row>
    <row r="28" ht="14.25" customHeight="1">
      <c r="A28" s="2"/>
      <c r="B28" s="2"/>
      <c r="C28" s="2"/>
      <c r="D28" s="2"/>
      <c r="E28" s="2"/>
      <c r="F28" s="2"/>
      <c r="G28" s="2"/>
    </row>
    <row r="29" ht="14.25" customHeight="1">
      <c r="A29" s="2"/>
      <c r="B29" s="2"/>
      <c r="C29" s="2"/>
      <c r="D29" s="2"/>
      <c r="E29" s="2"/>
      <c r="F29" s="2"/>
      <c r="G29" s="2"/>
    </row>
    <row r="30" ht="14.25" customHeight="1">
      <c r="A30" s="2"/>
      <c r="B30" s="2"/>
      <c r="C30" s="2"/>
      <c r="D30" s="2"/>
      <c r="E30" s="2"/>
      <c r="F30" s="2"/>
      <c r="G30" s="2"/>
    </row>
    <row r="31" ht="14.25" customHeight="1">
      <c r="A31" s="2"/>
      <c r="B31" s="2"/>
      <c r="C31" s="2"/>
      <c r="D31" s="2"/>
      <c r="E31" s="2"/>
      <c r="F31" s="2"/>
      <c r="G31" s="2"/>
    </row>
    <row r="32" ht="14.25" customHeight="1">
      <c r="A32" s="2"/>
      <c r="B32" s="2"/>
      <c r="C32" s="2"/>
      <c r="D32" s="2"/>
      <c r="E32" s="2"/>
      <c r="F32" s="2"/>
      <c r="G32" s="2"/>
    </row>
    <row r="33" ht="14.25" customHeight="1">
      <c r="A33" s="2"/>
      <c r="B33" s="2"/>
      <c r="C33" s="2"/>
      <c r="D33" s="2"/>
      <c r="E33" s="2"/>
      <c r="F33" s="2"/>
      <c r="G33" s="2"/>
    </row>
    <row r="34" ht="14.25" customHeight="1">
      <c r="A34" s="2"/>
      <c r="B34" s="2"/>
      <c r="C34" s="2"/>
      <c r="D34" s="2"/>
      <c r="E34" s="2"/>
      <c r="F34" s="2"/>
      <c r="G34" s="2"/>
    </row>
    <row r="35" ht="14.25" customHeight="1">
      <c r="A35" s="2"/>
      <c r="B35" s="2"/>
      <c r="C35" s="2"/>
      <c r="D35" s="2"/>
      <c r="E35" s="2"/>
      <c r="F35" s="2"/>
      <c r="G35" s="2"/>
    </row>
    <row r="36" ht="14.25" customHeight="1">
      <c r="A36" s="2"/>
      <c r="B36" s="2"/>
      <c r="C36" s="2"/>
      <c r="D36" s="2"/>
      <c r="E36" s="2"/>
      <c r="F36" s="2"/>
      <c r="G36" s="2"/>
    </row>
    <row r="37" ht="14.25" customHeight="1">
      <c r="A37" s="2"/>
      <c r="B37" s="2"/>
      <c r="C37" s="2"/>
      <c r="D37" s="2"/>
      <c r="E37" s="2"/>
      <c r="F37" s="2"/>
      <c r="G37" s="2"/>
    </row>
    <row r="38" ht="14.25" customHeight="1">
      <c r="A38" s="2"/>
      <c r="B38" s="2"/>
      <c r="C38" s="2"/>
      <c r="D38" s="2"/>
      <c r="E38" s="2"/>
      <c r="F38" s="2"/>
      <c r="G38" s="2"/>
    </row>
    <row r="39" ht="14.25" customHeight="1">
      <c r="A39" s="2"/>
      <c r="B39" s="2"/>
      <c r="C39" s="2"/>
      <c r="D39" s="2"/>
      <c r="E39" s="2"/>
      <c r="F39" s="2"/>
      <c r="G39" s="2"/>
    </row>
    <row r="40" ht="14.25" customHeight="1">
      <c r="A40" s="2"/>
      <c r="B40" s="2"/>
      <c r="C40" s="2"/>
      <c r="D40" s="2"/>
      <c r="E40" s="2"/>
      <c r="F40" s="2"/>
      <c r="G40" s="2"/>
    </row>
    <row r="41" ht="14.25" customHeight="1">
      <c r="A41" s="2"/>
      <c r="B41" s="2"/>
      <c r="C41" s="2"/>
      <c r="D41" s="2"/>
      <c r="E41" s="2"/>
      <c r="F41" s="2"/>
      <c r="G41" s="2"/>
    </row>
    <row r="42" ht="14.25" customHeight="1">
      <c r="A42" s="2"/>
      <c r="B42" s="2"/>
      <c r="C42" s="2"/>
      <c r="D42" s="2"/>
      <c r="E42" s="2"/>
      <c r="F42" s="2"/>
      <c r="G42" s="2"/>
    </row>
    <row r="43" ht="14.25" customHeight="1">
      <c r="A43" s="2"/>
      <c r="B43" s="2"/>
      <c r="C43" s="2"/>
      <c r="D43" s="2"/>
      <c r="E43" s="2"/>
      <c r="F43" s="2"/>
      <c r="G43" s="2"/>
    </row>
    <row r="44" ht="14.25" customHeight="1">
      <c r="A44" s="2"/>
      <c r="B44" s="2"/>
      <c r="C44" s="2"/>
      <c r="D44" s="2"/>
      <c r="E44" s="2"/>
      <c r="F44" s="2"/>
      <c r="G44" s="2"/>
    </row>
    <row r="45" ht="14.25" customHeight="1">
      <c r="A45" s="2"/>
      <c r="B45" s="2"/>
      <c r="C45" s="2"/>
      <c r="D45" s="2"/>
      <c r="E45" s="2"/>
      <c r="F45" s="2"/>
      <c r="G45" s="2"/>
    </row>
    <row r="46" ht="14.25" customHeight="1">
      <c r="A46" s="2"/>
      <c r="B46" s="2"/>
      <c r="C46" s="2"/>
      <c r="D46" s="2"/>
      <c r="E46" s="2"/>
      <c r="F46" s="2"/>
      <c r="G46" s="2"/>
    </row>
    <row r="47" ht="14.25" customHeight="1">
      <c r="A47" s="2"/>
      <c r="B47" s="2"/>
      <c r="C47" s="2"/>
      <c r="D47" s="2"/>
      <c r="E47" s="2"/>
      <c r="F47" s="2"/>
      <c r="G47" s="2"/>
    </row>
    <row r="48" ht="14.25" customHeight="1">
      <c r="A48" s="2"/>
      <c r="B48" s="2"/>
      <c r="C48" s="2"/>
      <c r="D48" s="2"/>
      <c r="E48" s="2"/>
      <c r="F48" s="2"/>
      <c r="G48" s="2"/>
    </row>
    <row r="49" ht="14.25" customHeight="1">
      <c r="A49" s="2"/>
      <c r="B49" s="2"/>
      <c r="C49" s="2"/>
      <c r="D49" s="2"/>
      <c r="E49" s="2"/>
      <c r="F49" s="2"/>
      <c r="G49" s="2"/>
    </row>
    <row r="50" ht="14.25" customHeight="1">
      <c r="A50" s="2"/>
      <c r="B50" s="2"/>
      <c r="C50" s="2"/>
      <c r="D50" s="2"/>
      <c r="E50" s="2"/>
      <c r="F50" s="2"/>
      <c r="G50" s="2"/>
    </row>
    <row r="51" ht="14.25" customHeight="1">
      <c r="A51" s="2"/>
      <c r="B51" s="2"/>
      <c r="C51" s="2"/>
      <c r="D51" s="2"/>
      <c r="E51" s="2"/>
      <c r="F51" s="2"/>
      <c r="G51" s="2"/>
    </row>
    <row r="52" ht="14.25" customHeight="1">
      <c r="A52" s="2"/>
      <c r="B52" s="2"/>
      <c r="C52" s="2"/>
      <c r="D52" s="2"/>
      <c r="E52" s="2"/>
      <c r="F52" s="2"/>
      <c r="G52" s="2"/>
    </row>
    <row r="53" ht="14.25" customHeight="1">
      <c r="A53" s="2"/>
      <c r="B53" s="2"/>
      <c r="C53" s="2"/>
      <c r="D53" s="2"/>
      <c r="E53" s="2"/>
      <c r="F53" s="2"/>
      <c r="G53" s="2"/>
    </row>
    <row r="54" ht="14.25" customHeight="1">
      <c r="A54" s="2"/>
      <c r="B54" s="2"/>
      <c r="C54" s="2"/>
      <c r="D54" s="2"/>
      <c r="E54" s="2"/>
      <c r="F54" s="2"/>
      <c r="G54" s="2"/>
    </row>
    <row r="55" ht="14.25" customHeight="1">
      <c r="A55" s="2"/>
      <c r="B55" s="2"/>
      <c r="C55" s="2"/>
      <c r="D55" s="2"/>
      <c r="E55" s="2"/>
      <c r="F55" s="2"/>
      <c r="G55" s="2"/>
    </row>
    <row r="56" ht="14.25" customHeight="1">
      <c r="A56" s="2"/>
      <c r="B56" s="2"/>
      <c r="C56" s="2"/>
      <c r="D56" s="2"/>
      <c r="E56" s="2"/>
      <c r="F56" s="2"/>
      <c r="G56" s="2"/>
    </row>
    <row r="57" ht="14.25" customHeight="1">
      <c r="A57" s="2"/>
      <c r="B57" s="2"/>
      <c r="C57" s="2"/>
      <c r="D57" s="2"/>
      <c r="E57" s="2"/>
      <c r="F57" s="2"/>
      <c r="G57" s="2"/>
    </row>
    <row r="58" ht="14.25" customHeight="1">
      <c r="A58" s="2"/>
      <c r="B58" s="2"/>
      <c r="C58" s="2"/>
      <c r="D58" s="2"/>
      <c r="E58" s="2"/>
      <c r="F58" s="2"/>
      <c r="G58" s="2"/>
    </row>
    <row r="59" ht="14.25" customHeight="1">
      <c r="A59" s="2"/>
      <c r="B59" s="2"/>
      <c r="C59" s="2"/>
      <c r="D59" s="2"/>
      <c r="E59" s="2"/>
      <c r="F59" s="2"/>
      <c r="G59" s="2"/>
    </row>
    <row r="60" ht="14.25" customHeight="1">
      <c r="A60" s="2"/>
      <c r="B60" s="2"/>
      <c r="C60" s="2"/>
      <c r="D60" s="2"/>
      <c r="E60" s="2"/>
      <c r="F60" s="2"/>
      <c r="G60" s="2"/>
    </row>
    <row r="61" ht="14.25" customHeight="1">
      <c r="A61" s="2"/>
      <c r="B61" s="2"/>
      <c r="C61" s="2"/>
      <c r="D61" s="2"/>
      <c r="E61" s="2"/>
      <c r="F61" s="2"/>
      <c r="G61" s="2"/>
    </row>
    <row r="62" ht="14.25" customHeight="1">
      <c r="A62" s="2"/>
      <c r="B62" s="2"/>
      <c r="C62" s="2"/>
      <c r="D62" s="2"/>
      <c r="E62" s="2"/>
      <c r="F62" s="2"/>
      <c r="G62" s="2"/>
    </row>
    <row r="63" ht="14.25" customHeight="1">
      <c r="A63" s="2"/>
      <c r="B63" s="2"/>
      <c r="C63" s="2"/>
      <c r="D63" s="2"/>
      <c r="E63" s="2"/>
      <c r="F63" s="2"/>
      <c r="G63" s="2"/>
    </row>
    <row r="64" ht="14.25" customHeight="1">
      <c r="A64" s="2"/>
      <c r="B64" s="2"/>
      <c r="C64" s="2"/>
      <c r="D64" s="2"/>
      <c r="E64" s="2"/>
      <c r="F64" s="2"/>
      <c r="G64" s="2"/>
    </row>
    <row r="65" ht="14.25" customHeight="1">
      <c r="A65" s="2"/>
      <c r="B65" s="2"/>
      <c r="C65" s="2"/>
      <c r="D65" s="2"/>
      <c r="E65" s="2"/>
      <c r="F65" s="2"/>
      <c r="G65" s="2"/>
    </row>
    <row r="66" ht="14.25" customHeight="1">
      <c r="A66" s="2"/>
      <c r="B66" s="2"/>
      <c r="C66" s="2"/>
      <c r="D66" s="2"/>
      <c r="E66" s="2"/>
      <c r="F66" s="2"/>
      <c r="G66" s="2"/>
    </row>
    <row r="67" ht="14.25" customHeight="1">
      <c r="A67" s="2"/>
      <c r="B67" s="2"/>
      <c r="C67" s="2"/>
      <c r="D67" s="2"/>
      <c r="E67" s="2"/>
      <c r="F67" s="2"/>
      <c r="G67" s="2"/>
    </row>
    <row r="68" ht="14.25" customHeight="1">
      <c r="A68" s="2"/>
      <c r="B68" s="2"/>
      <c r="C68" s="2"/>
      <c r="D68" s="2"/>
      <c r="E68" s="2"/>
      <c r="F68" s="2"/>
      <c r="G68" s="2"/>
    </row>
    <row r="69" ht="14.25" customHeight="1">
      <c r="A69" s="2"/>
      <c r="B69" s="2"/>
      <c r="C69" s="2"/>
      <c r="D69" s="2"/>
      <c r="E69" s="2"/>
      <c r="F69" s="2"/>
      <c r="G69" s="2"/>
    </row>
    <row r="70" ht="14.25" customHeight="1">
      <c r="A70" s="2"/>
      <c r="B70" s="2"/>
      <c r="C70" s="2"/>
      <c r="D70" s="2"/>
      <c r="E70" s="2"/>
      <c r="F70" s="2"/>
      <c r="G70" s="2"/>
    </row>
    <row r="71" ht="14.25" customHeight="1">
      <c r="A71" s="2"/>
      <c r="B71" s="2"/>
      <c r="C71" s="2"/>
      <c r="D71" s="2"/>
      <c r="E71" s="2"/>
      <c r="F71" s="2"/>
      <c r="G71" s="2"/>
    </row>
    <row r="72" ht="14.25" customHeight="1">
      <c r="A72" s="2"/>
      <c r="B72" s="2"/>
      <c r="C72" s="2"/>
      <c r="D72" s="2"/>
      <c r="E72" s="2"/>
      <c r="F72" s="2"/>
      <c r="G72" s="2"/>
    </row>
    <row r="73" ht="14.25" customHeight="1">
      <c r="A73" s="2"/>
      <c r="B73" s="2"/>
      <c r="C73" s="2"/>
      <c r="D73" s="2"/>
      <c r="E73" s="2"/>
      <c r="F73" s="2"/>
      <c r="G73" s="2"/>
    </row>
    <row r="74" ht="14.25" customHeight="1">
      <c r="A74" s="2"/>
      <c r="B74" s="2"/>
      <c r="C74" s="2"/>
      <c r="D74" s="2"/>
      <c r="E74" s="2"/>
      <c r="F74" s="2"/>
      <c r="G74" s="2"/>
    </row>
    <row r="75" ht="14.25" customHeight="1">
      <c r="A75" s="2"/>
      <c r="B75" s="2"/>
      <c r="C75" s="2"/>
      <c r="D75" s="2"/>
      <c r="E75" s="2"/>
      <c r="F75" s="2"/>
      <c r="G75" s="2"/>
    </row>
    <row r="76" ht="14.25" customHeight="1">
      <c r="A76" s="2"/>
      <c r="B76" s="2"/>
      <c r="C76" s="2"/>
      <c r="D76" s="2"/>
      <c r="E76" s="2"/>
      <c r="F76" s="2"/>
      <c r="G76" s="2"/>
    </row>
    <row r="77" ht="14.25" customHeight="1">
      <c r="A77" s="2"/>
      <c r="B77" s="2"/>
      <c r="C77" s="2"/>
      <c r="D77" s="2"/>
      <c r="E77" s="2"/>
      <c r="F77" s="2"/>
      <c r="G77" s="2"/>
    </row>
    <row r="78" ht="14.25" customHeight="1">
      <c r="A78" s="2"/>
      <c r="B78" s="2"/>
      <c r="C78" s="2"/>
      <c r="D78" s="2"/>
      <c r="E78" s="2"/>
      <c r="F78" s="2"/>
      <c r="G78" s="2"/>
    </row>
    <row r="79" ht="14.25" customHeight="1">
      <c r="A79" s="2"/>
      <c r="B79" s="2"/>
      <c r="C79" s="2"/>
      <c r="D79" s="2"/>
      <c r="E79" s="2"/>
      <c r="F79" s="2"/>
      <c r="G79" s="2"/>
    </row>
    <row r="80" ht="14.25" customHeight="1">
      <c r="A80" s="2"/>
      <c r="B80" s="2"/>
      <c r="C80" s="2"/>
      <c r="D80" s="2"/>
      <c r="E80" s="2"/>
      <c r="F80" s="2"/>
      <c r="G80" s="2"/>
    </row>
    <row r="81" ht="14.25" customHeight="1">
      <c r="A81" s="2"/>
      <c r="B81" s="2"/>
      <c r="C81" s="2"/>
      <c r="D81" s="2"/>
      <c r="E81" s="2"/>
      <c r="F81" s="2"/>
      <c r="G81" s="2"/>
    </row>
    <row r="82" ht="14.25" customHeight="1">
      <c r="A82" s="2"/>
      <c r="B82" s="2"/>
      <c r="C82" s="2"/>
      <c r="D82" s="2"/>
      <c r="E82" s="2"/>
      <c r="F82" s="2"/>
      <c r="G82" s="2"/>
    </row>
    <row r="83" ht="14.25" customHeight="1">
      <c r="A83" s="2"/>
      <c r="B83" s="2"/>
      <c r="C83" s="2"/>
      <c r="D83" s="2"/>
      <c r="E83" s="2"/>
      <c r="F83" s="2"/>
      <c r="G83" s="2"/>
    </row>
    <row r="84" ht="14.25" customHeight="1">
      <c r="A84" s="2"/>
      <c r="B84" s="2"/>
      <c r="C84" s="2"/>
      <c r="D84" s="2"/>
      <c r="E84" s="2"/>
      <c r="F84" s="2"/>
      <c r="G84" s="2"/>
    </row>
    <row r="85" ht="14.25" customHeight="1">
      <c r="A85" s="2"/>
      <c r="B85" s="2"/>
      <c r="C85" s="2"/>
      <c r="D85" s="2"/>
      <c r="E85" s="2"/>
      <c r="F85" s="2"/>
      <c r="G85" s="2"/>
    </row>
    <row r="86" ht="14.25" customHeight="1">
      <c r="A86" s="2"/>
      <c r="B86" s="2"/>
      <c r="C86" s="2"/>
      <c r="D86" s="2"/>
      <c r="E86" s="2"/>
      <c r="F86" s="2"/>
      <c r="G86" s="2"/>
    </row>
    <row r="87" ht="14.25" customHeight="1">
      <c r="A87" s="2"/>
      <c r="B87" s="2"/>
      <c r="C87" s="2"/>
      <c r="D87" s="2"/>
      <c r="E87" s="2"/>
      <c r="F87" s="2"/>
      <c r="G87" s="2"/>
    </row>
    <row r="88" ht="14.25" customHeight="1">
      <c r="A88" s="2"/>
      <c r="B88" s="2"/>
      <c r="C88" s="2"/>
      <c r="D88" s="2"/>
      <c r="E88" s="2"/>
      <c r="F88" s="2"/>
      <c r="G88" s="2"/>
    </row>
    <row r="89" ht="14.25" customHeight="1">
      <c r="A89" s="2"/>
      <c r="B89" s="2"/>
      <c r="C89" s="2"/>
      <c r="D89" s="2"/>
      <c r="E89" s="2"/>
      <c r="F89" s="2"/>
      <c r="G89" s="2"/>
    </row>
    <row r="90" ht="14.25" customHeight="1">
      <c r="A90" s="2"/>
      <c r="B90" s="2"/>
      <c r="C90" s="2"/>
      <c r="D90" s="2"/>
      <c r="E90" s="2"/>
      <c r="F90" s="2"/>
      <c r="G90" s="2"/>
    </row>
    <row r="91" ht="14.25" customHeight="1">
      <c r="A91" s="2"/>
      <c r="B91" s="2"/>
      <c r="C91" s="2"/>
      <c r="D91" s="2"/>
      <c r="E91" s="2"/>
      <c r="F91" s="2"/>
      <c r="G91" s="2"/>
    </row>
    <row r="92" ht="14.25" customHeight="1">
      <c r="A92" s="2"/>
      <c r="B92" s="2"/>
      <c r="C92" s="2"/>
      <c r="D92" s="2"/>
      <c r="E92" s="2"/>
      <c r="F92" s="2"/>
      <c r="G92" s="2"/>
    </row>
    <row r="93" ht="14.25" customHeight="1">
      <c r="A93" s="2"/>
      <c r="B93" s="2"/>
      <c r="C93" s="2"/>
      <c r="D93" s="2"/>
      <c r="E93" s="2"/>
      <c r="F93" s="2"/>
      <c r="G93" s="2"/>
    </row>
    <row r="94" ht="14.25" customHeight="1">
      <c r="A94" s="2"/>
      <c r="B94" s="2"/>
      <c r="C94" s="2"/>
      <c r="D94" s="2"/>
      <c r="E94" s="2"/>
      <c r="F94" s="2"/>
      <c r="G94" s="2"/>
    </row>
    <row r="95" ht="14.25" customHeight="1">
      <c r="A95" s="2"/>
      <c r="B95" s="2"/>
      <c r="C95" s="2"/>
      <c r="D95" s="2"/>
      <c r="E95" s="2"/>
      <c r="F95" s="2"/>
      <c r="G95" s="2"/>
    </row>
    <row r="96" ht="14.25" customHeight="1">
      <c r="A96" s="2"/>
      <c r="B96" s="2"/>
      <c r="C96" s="2"/>
      <c r="D96" s="2"/>
      <c r="E96" s="2"/>
      <c r="F96" s="2"/>
      <c r="G96" s="2"/>
    </row>
    <row r="97" ht="14.25" customHeight="1">
      <c r="A97" s="2"/>
      <c r="B97" s="2"/>
      <c r="C97" s="2"/>
      <c r="D97" s="2"/>
      <c r="E97" s="2"/>
      <c r="F97" s="2"/>
      <c r="G97" s="2"/>
    </row>
    <row r="98" ht="14.25" customHeight="1">
      <c r="A98" s="2"/>
      <c r="B98" s="2"/>
      <c r="C98" s="2"/>
      <c r="D98" s="2"/>
      <c r="E98" s="2"/>
      <c r="F98" s="2"/>
      <c r="G98" s="2"/>
    </row>
    <row r="99" ht="14.25" customHeight="1">
      <c r="A99" s="2"/>
      <c r="B99" s="2"/>
      <c r="C99" s="2"/>
      <c r="D99" s="2"/>
      <c r="E99" s="2"/>
      <c r="F99" s="2"/>
      <c r="G99" s="2"/>
    </row>
    <row r="100" ht="14.25" customHeight="1">
      <c r="A100" s="2"/>
      <c r="B100" s="2"/>
      <c r="C100" s="2"/>
      <c r="D100" s="2"/>
      <c r="E100" s="2"/>
      <c r="F100" s="2"/>
      <c r="G100" s="2"/>
    </row>
    <row r="101" ht="14.25" customHeight="1">
      <c r="A101" s="2"/>
      <c r="B101" s="2"/>
      <c r="C101" s="2"/>
      <c r="D101" s="2"/>
      <c r="E101" s="2"/>
      <c r="F101" s="2"/>
      <c r="G101" s="2"/>
    </row>
    <row r="102" ht="14.25" customHeight="1">
      <c r="A102" s="2"/>
      <c r="B102" s="2"/>
      <c r="C102" s="2"/>
      <c r="D102" s="2"/>
      <c r="E102" s="2"/>
      <c r="F102" s="2"/>
      <c r="G102" s="2"/>
    </row>
    <row r="103" ht="14.25" customHeight="1">
      <c r="A103" s="2"/>
      <c r="B103" s="2"/>
      <c r="C103" s="2"/>
      <c r="D103" s="2"/>
      <c r="E103" s="2"/>
      <c r="F103" s="2"/>
      <c r="G103" s="2"/>
    </row>
    <row r="104" ht="14.25" customHeight="1">
      <c r="A104" s="2"/>
      <c r="B104" s="2"/>
      <c r="C104" s="2"/>
      <c r="D104" s="2"/>
      <c r="E104" s="2"/>
      <c r="F104" s="2"/>
      <c r="G104" s="2"/>
    </row>
    <row r="105" ht="14.25" customHeight="1">
      <c r="A105" s="2"/>
      <c r="B105" s="2"/>
      <c r="C105" s="2"/>
      <c r="D105" s="2"/>
      <c r="E105" s="2"/>
      <c r="F105" s="2"/>
      <c r="G105" s="2"/>
    </row>
    <row r="106" ht="14.25" customHeight="1">
      <c r="A106" s="2"/>
      <c r="B106" s="2"/>
      <c r="C106" s="2"/>
      <c r="D106" s="2"/>
      <c r="E106" s="2"/>
      <c r="F106" s="2"/>
      <c r="G106" s="2"/>
    </row>
    <row r="107" ht="14.25" customHeight="1">
      <c r="A107" s="2"/>
      <c r="B107" s="2"/>
      <c r="C107" s="2"/>
      <c r="D107" s="2"/>
      <c r="E107" s="2"/>
      <c r="F107" s="2"/>
      <c r="G107" s="2"/>
    </row>
    <row r="108" ht="14.25" customHeight="1">
      <c r="A108" s="2"/>
      <c r="B108" s="2"/>
      <c r="C108" s="2"/>
      <c r="D108" s="2"/>
      <c r="E108" s="2"/>
      <c r="F108" s="2"/>
      <c r="G108" s="2"/>
    </row>
    <row r="109" ht="14.25" customHeight="1">
      <c r="A109" s="2"/>
      <c r="B109" s="2"/>
      <c r="C109" s="2"/>
      <c r="D109" s="2"/>
      <c r="E109" s="2"/>
      <c r="F109" s="2"/>
      <c r="G109" s="2"/>
    </row>
    <row r="110" ht="14.25" customHeight="1">
      <c r="A110" s="2"/>
      <c r="B110" s="2"/>
      <c r="C110" s="2"/>
      <c r="D110" s="2"/>
      <c r="E110" s="2"/>
      <c r="F110" s="2"/>
      <c r="G110" s="2"/>
    </row>
    <row r="111" ht="14.25" customHeight="1">
      <c r="A111" s="2"/>
      <c r="B111" s="2"/>
      <c r="C111" s="2"/>
      <c r="D111" s="2"/>
      <c r="E111" s="2"/>
      <c r="F111" s="2"/>
      <c r="G111" s="2"/>
    </row>
    <row r="112" ht="14.25" customHeight="1">
      <c r="A112" s="2"/>
      <c r="B112" s="2"/>
      <c r="C112" s="2"/>
      <c r="D112" s="2"/>
      <c r="E112" s="2"/>
      <c r="F112" s="2"/>
      <c r="G112" s="2"/>
    </row>
    <row r="113" ht="14.25" customHeight="1">
      <c r="A113" s="2"/>
      <c r="B113" s="2"/>
      <c r="C113" s="2"/>
      <c r="D113" s="2"/>
      <c r="E113" s="2"/>
      <c r="F113" s="2"/>
      <c r="G113" s="2"/>
    </row>
    <row r="114" ht="14.25" customHeight="1">
      <c r="A114" s="2"/>
      <c r="B114" s="2"/>
      <c r="C114" s="2"/>
      <c r="D114" s="2"/>
      <c r="E114" s="2"/>
      <c r="F114" s="2"/>
      <c r="G114" s="2"/>
    </row>
    <row r="115" ht="14.25" customHeight="1">
      <c r="A115" s="2"/>
      <c r="B115" s="2"/>
      <c r="C115" s="2"/>
      <c r="D115" s="2"/>
      <c r="E115" s="2"/>
      <c r="F115" s="2"/>
      <c r="G115" s="2"/>
    </row>
    <row r="116" ht="14.25" customHeight="1">
      <c r="A116" s="2"/>
      <c r="B116" s="2"/>
      <c r="C116" s="2"/>
      <c r="D116" s="2"/>
      <c r="E116" s="2"/>
      <c r="F116" s="2"/>
      <c r="G116" s="2"/>
    </row>
    <row r="117" ht="14.25" customHeight="1">
      <c r="A117" s="2"/>
      <c r="B117" s="2"/>
      <c r="C117" s="2"/>
      <c r="D117" s="2"/>
      <c r="E117" s="2"/>
      <c r="F117" s="2"/>
      <c r="G117" s="2"/>
    </row>
    <row r="118" ht="14.25" customHeight="1">
      <c r="A118" s="2"/>
      <c r="B118" s="2"/>
      <c r="C118" s="2"/>
      <c r="D118" s="2"/>
      <c r="E118" s="2"/>
      <c r="F118" s="2"/>
      <c r="G118" s="2"/>
    </row>
    <row r="119" ht="14.25" customHeight="1">
      <c r="A119" s="2"/>
      <c r="B119" s="2"/>
      <c r="C119" s="2"/>
      <c r="D119" s="2"/>
      <c r="E119" s="2"/>
      <c r="F119" s="2"/>
      <c r="G119" s="2"/>
    </row>
    <row r="120" ht="14.25" customHeight="1">
      <c r="A120" s="2"/>
      <c r="B120" s="2"/>
      <c r="C120" s="2"/>
      <c r="D120" s="2"/>
      <c r="E120" s="2"/>
      <c r="F120" s="2"/>
      <c r="G120" s="2"/>
    </row>
    <row r="121" ht="14.25" customHeight="1">
      <c r="A121" s="2"/>
      <c r="B121" s="2"/>
      <c r="C121" s="2"/>
      <c r="D121" s="2"/>
      <c r="E121" s="2"/>
      <c r="F121" s="2"/>
      <c r="G121" s="2"/>
    </row>
    <row r="122" ht="14.25" customHeight="1">
      <c r="A122" s="2"/>
      <c r="B122" s="2"/>
      <c r="C122" s="2"/>
      <c r="D122" s="2"/>
      <c r="E122" s="2"/>
      <c r="F122" s="2"/>
      <c r="G122" s="2"/>
    </row>
    <row r="123" ht="14.25" customHeight="1">
      <c r="A123" s="2"/>
      <c r="B123" s="2"/>
      <c r="C123" s="2"/>
      <c r="D123" s="2"/>
      <c r="E123" s="2"/>
      <c r="F123" s="2"/>
      <c r="G123" s="2"/>
    </row>
    <row r="124" ht="14.25" customHeight="1">
      <c r="A124" s="2"/>
      <c r="B124" s="2"/>
      <c r="C124" s="2"/>
      <c r="D124" s="2"/>
      <c r="E124" s="2"/>
      <c r="F124" s="2"/>
      <c r="G124" s="2"/>
    </row>
    <row r="125" ht="14.25" customHeight="1">
      <c r="A125" s="2"/>
      <c r="B125" s="2"/>
      <c r="C125" s="2"/>
      <c r="D125" s="2"/>
      <c r="E125" s="2"/>
      <c r="F125" s="2"/>
      <c r="G125" s="2"/>
    </row>
    <row r="126" ht="14.25" customHeight="1">
      <c r="A126" s="2"/>
      <c r="B126" s="2"/>
      <c r="C126" s="2"/>
      <c r="D126" s="2"/>
      <c r="E126" s="2"/>
      <c r="F126" s="2"/>
      <c r="G126" s="2"/>
    </row>
    <row r="127" ht="14.25" customHeight="1">
      <c r="A127" s="2"/>
      <c r="B127" s="2"/>
      <c r="C127" s="2"/>
      <c r="D127" s="2"/>
      <c r="E127" s="2"/>
      <c r="F127" s="2"/>
      <c r="G127" s="2"/>
    </row>
    <row r="128" ht="14.25" customHeight="1">
      <c r="A128" s="2"/>
      <c r="B128" s="2"/>
      <c r="C128" s="2"/>
      <c r="D128" s="2"/>
      <c r="E128" s="2"/>
      <c r="F128" s="2"/>
      <c r="G128" s="2"/>
    </row>
    <row r="129" ht="14.25" customHeight="1">
      <c r="A129" s="2"/>
      <c r="B129" s="2"/>
      <c r="C129" s="2"/>
      <c r="D129" s="2"/>
      <c r="E129" s="2"/>
      <c r="F129" s="2"/>
      <c r="G129" s="2"/>
    </row>
    <row r="130" ht="14.25" customHeight="1">
      <c r="A130" s="2"/>
      <c r="B130" s="2"/>
      <c r="C130" s="2"/>
      <c r="D130" s="2"/>
      <c r="E130" s="2"/>
      <c r="F130" s="2"/>
      <c r="G130" s="2"/>
    </row>
    <row r="131" ht="14.25" customHeight="1">
      <c r="A131" s="2"/>
      <c r="B131" s="2"/>
      <c r="C131" s="2"/>
      <c r="D131" s="2"/>
      <c r="E131" s="2"/>
      <c r="F131" s="2"/>
      <c r="G131" s="2"/>
    </row>
    <row r="132" ht="14.25" customHeight="1">
      <c r="A132" s="2"/>
      <c r="B132" s="2"/>
      <c r="C132" s="2"/>
      <c r="D132" s="2"/>
      <c r="E132" s="2"/>
      <c r="F132" s="2"/>
      <c r="G132" s="2"/>
    </row>
    <row r="133" ht="14.25" customHeight="1">
      <c r="A133" s="2"/>
      <c r="B133" s="2"/>
      <c r="C133" s="2"/>
      <c r="D133" s="2"/>
      <c r="E133" s="2"/>
      <c r="F133" s="2"/>
      <c r="G133" s="2"/>
    </row>
    <row r="134" ht="14.25" customHeight="1">
      <c r="A134" s="2"/>
      <c r="B134" s="2"/>
      <c r="C134" s="2"/>
      <c r="D134" s="2"/>
      <c r="E134" s="2"/>
      <c r="F134" s="2"/>
      <c r="G134" s="2"/>
    </row>
    <row r="135" ht="14.25" customHeight="1">
      <c r="A135" s="2"/>
      <c r="B135" s="2"/>
      <c r="C135" s="2"/>
      <c r="D135" s="2"/>
      <c r="E135" s="2"/>
      <c r="F135" s="2"/>
      <c r="G135" s="2"/>
    </row>
    <row r="136" ht="14.25" customHeight="1">
      <c r="A136" s="2"/>
      <c r="B136" s="2"/>
      <c r="C136" s="2"/>
      <c r="D136" s="2"/>
      <c r="E136" s="2"/>
      <c r="F136" s="2"/>
      <c r="G136" s="2"/>
    </row>
    <row r="137" ht="14.25" customHeight="1">
      <c r="A137" s="2"/>
      <c r="B137" s="2"/>
      <c r="C137" s="2"/>
      <c r="D137" s="2"/>
      <c r="E137" s="2"/>
      <c r="F137" s="2"/>
      <c r="G137" s="2"/>
    </row>
    <row r="138" ht="14.25" customHeight="1">
      <c r="A138" s="2"/>
      <c r="B138" s="2"/>
      <c r="C138" s="2"/>
      <c r="D138" s="2"/>
      <c r="E138" s="2"/>
      <c r="F138" s="2"/>
      <c r="G138" s="2"/>
    </row>
    <row r="139" ht="14.25" customHeight="1">
      <c r="A139" s="2"/>
      <c r="B139" s="2"/>
      <c r="C139" s="2"/>
      <c r="D139" s="2"/>
      <c r="E139" s="2"/>
      <c r="F139" s="2"/>
      <c r="G139" s="2"/>
    </row>
    <row r="140" ht="14.25" customHeight="1">
      <c r="A140" s="2"/>
      <c r="B140" s="2"/>
      <c r="C140" s="2"/>
      <c r="D140" s="2"/>
      <c r="E140" s="2"/>
      <c r="F140" s="2"/>
      <c r="G140" s="2"/>
    </row>
    <row r="141" ht="14.25" customHeight="1">
      <c r="A141" s="2"/>
      <c r="B141" s="2"/>
      <c r="C141" s="2"/>
      <c r="D141" s="2"/>
      <c r="E141" s="2"/>
      <c r="F141" s="2"/>
      <c r="G141" s="2"/>
    </row>
    <row r="142" ht="14.25" customHeight="1">
      <c r="A142" s="2"/>
      <c r="B142" s="2"/>
      <c r="C142" s="2"/>
      <c r="D142" s="2"/>
      <c r="E142" s="2"/>
      <c r="F142" s="2"/>
      <c r="G142" s="2"/>
    </row>
    <row r="143" ht="14.25" customHeight="1">
      <c r="A143" s="2"/>
      <c r="B143" s="2"/>
      <c r="C143" s="2"/>
      <c r="D143" s="2"/>
      <c r="E143" s="2"/>
      <c r="F143" s="2"/>
      <c r="G143" s="2"/>
    </row>
    <row r="144" ht="14.25" customHeight="1">
      <c r="A144" s="2"/>
      <c r="B144" s="2"/>
      <c r="C144" s="2"/>
      <c r="D144" s="2"/>
      <c r="E144" s="2"/>
      <c r="F144" s="2"/>
      <c r="G144" s="2"/>
    </row>
    <row r="145" ht="14.25" customHeight="1">
      <c r="A145" s="2"/>
      <c r="B145" s="2"/>
      <c r="C145" s="2"/>
      <c r="D145" s="2"/>
      <c r="E145" s="2"/>
      <c r="F145" s="2"/>
      <c r="G145" s="2"/>
    </row>
    <row r="146" ht="14.25" customHeight="1">
      <c r="A146" s="2"/>
      <c r="B146" s="2"/>
      <c r="C146" s="2"/>
      <c r="D146" s="2"/>
      <c r="E146" s="2"/>
      <c r="F146" s="2"/>
      <c r="G146" s="2"/>
    </row>
    <row r="147" ht="14.25" customHeight="1">
      <c r="A147" s="2"/>
      <c r="B147" s="2"/>
      <c r="C147" s="2"/>
      <c r="D147" s="2"/>
      <c r="E147" s="2"/>
      <c r="F147" s="2"/>
      <c r="G147" s="2"/>
    </row>
    <row r="148" ht="14.25" customHeight="1">
      <c r="A148" s="2"/>
      <c r="B148" s="2"/>
      <c r="C148" s="2"/>
      <c r="D148" s="2"/>
      <c r="E148" s="2"/>
      <c r="F148" s="2"/>
      <c r="G148" s="2"/>
    </row>
    <row r="149" ht="14.25" customHeight="1">
      <c r="A149" s="2"/>
      <c r="B149" s="2"/>
      <c r="C149" s="2"/>
      <c r="D149" s="2"/>
      <c r="E149" s="2"/>
      <c r="F149" s="2"/>
      <c r="G149" s="2"/>
    </row>
    <row r="150" ht="14.25" customHeight="1">
      <c r="A150" s="2"/>
      <c r="B150" s="2"/>
      <c r="C150" s="2"/>
      <c r="D150" s="2"/>
      <c r="E150" s="2"/>
      <c r="F150" s="2"/>
      <c r="G150" s="2"/>
    </row>
    <row r="151" ht="14.25" customHeight="1">
      <c r="A151" s="2"/>
      <c r="B151" s="2"/>
      <c r="C151" s="2"/>
      <c r="D151" s="2"/>
      <c r="E151" s="2"/>
      <c r="F151" s="2"/>
      <c r="G151" s="2"/>
    </row>
    <row r="152" ht="14.25" customHeight="1">
      <c r="A152" s="2"/>
      <c r="B152" s="2"/>
      <c r="C152" s="2"/>
      <c r="D152" s="2"/>
      <c r="E152" s="2"/>
      <c r="F152" s="2"/>
      <c r="G152" s="2"/>
    </row>
    <row r="153" ht="14.25" customHeight="1">
      <c r="A153" s="2"/>
      <c r="B153" s="2"/>
      <c r="C153" s="2"/>
      <c r="D153" s="2"/>
      <c r="E153" s="2"/>
      <c r="F153" s="2"/>
      <c r="G153" s="2"/>
    </row>
    <row r="154" ht="14.25" customHeight="1">
      <c r="A154" s="2"/>
      <c r="B154" s="2"/>
      <c r="C154" s="2"/>
      <c r="D154" s="2"/>
      <c r="E154" s="2"/>
      <c r="F154" s="2"/>
      <c r="G154" s="2"/>
    </row>
    <row r="155" ht="14.25" customHeight="1">
      <c r="A155" s="2"/>
      <c r="B155" s="2"/>
      <c r="C155" s="2"/>
      <c r="D155" s="2"/>
      <c r="E155" s="2"/>
      <c r="F155" s="2"/>
      <c r="G155" s="2"/>
    </row>
    <row r="156" ht="14.25" customHeight="1">
      <c r="A156" s="2"/>
      <c r="B156" s="2"/>
      <c r="C156" s="2"/>
      <c r="D156" s="2"/>
      <c r="E156" s="2"/>
      <c r="F156" s="2"/>
      <c r="G156" s="2"/>
    </row>
    <row r="157" ht="14.25" customHeight="1">
      <c r="A157" s="2"/>
      <c r="B157" s="2"/>
      <c r="C157" s="2"/>
      <c r="D157" s="2"/>
      <c r="E157" s="2"/>
      <c r="F157" s="2"/>
      <c r="G157" s="2"/>
    </row>
    <row r="158" ht="14.25" customHeight="1">
      <c r="A158" s="2"/>
      <c r="B158" s="2"/>
      <c r="C158" s="2"/>
      <c r="D158" s="2"/>
      <c r="E158" s="2"/>
      <c r="F158" s="2"/>
      <c r="G158" s="2"/>
    </row>
    <row r="159" ht="14.25" customHeight="1">
      <c r="A159" s="2"/>
      <c r="B159" s="2"/>
      <c r="C159" s="2"/>
      <c r="D159" s="2"/>
      <c r="E159" s="2"/>
      <c r="F159" s="2"/>
      <c r="G159" s="2"/>
    </row>
    <row r="160" ht="14.25" customHeight="1">
      <c r="A160" s="2"/>
      <c r="B160" s="2"/>
      <c r="C160" s="2"/>
      <c r="D160" s="2"/>
      <c r="E160" s="2"/>
      <c r="F160" s="2"/>
      <c r="G160" s="2"/>
    </row>
    <row r="161" ht="14.25" customHeight="1">
      <c r="A161" s="2"/>
      <c r="B161" s="2"/>
      <c r="C161" s="2"/>
      <c r="D161" s="2"/>
      <c r="E161" s="2"/>
      <c r="F161" s="2"/>
      <c r="G161" s="2"/>
    </row>
    <row r="162" ht="14.25" customHeight="1">
      <c r="A162" s="2"/>
      <c r="B162" s="2"/>
      <c r="C162" s="2"/>
      <c r="D162" s="2"/>
      <c r="E162" s="2"/>
      <c r="F162" s="2"/>
      <c r="G162" s="2"/>
    </row>
    <row r="163" ht="14.25" customHeight="1">
      <c r="A163" s="2"/>
      <c r="B163" s="2"/>
      <c r="C163" s="2"/>
      <c r="D163" s="2"/>
      <c r="E163" s="2"/>
      <c r="F163" s="2"/>
      <c r="G163" s="2"/>
    </row>
    <row r="164" ht="14.25" customHeight="1">
      <c r="A164" s="2"/>
      <c r="B164" s="2"/>
      <c r="C164" s="2"/>
      <c r="D164" s="2"/>
      <c r="E164" s="2"/>
      <c r="F164" s="2"/>
      <c r="G164" s="2"/>
    </row>
    <row r="165" ht="14.25" customHeight="1">
      <c r="A165" s="2"/>
      <c r="B165" s="2"/>
      <c r="C165" s="2"/>
      <c r="D165" s="2"/>
      <c r="E165" s="2"/>
      <c r="F165" s="2"/>
      <c r="G165" s="2"/>
    </row>
    <row r="166" ht="14.25" customHeight="1">
      <c r="A166" s="2"/>
      <c r="B166" s="2"/>
      <c r="C166" s="2"/>
      <c r="D166" s="2"/>
      <c r="E166" s="2"/>
      <c r="F166" s="2"/>
      <c r="G166" s="2"/>
    </row>
    <row r="167" ht="14.25" customHeight="1">
      <c r="A167" s="2"/>
      <c r="B167" s="2"/>
      <c r="C167" s="2"/>
      <c r="D167" s="2"/>
      <c r="E167" s="2"/>
      <c r="F167" s="2"/>
      <c r="G167" s="2"/>
    </row>
    <row r="168" ht="14.25" customHeight="1">
      <c r="A168" s="2"/>
      <c r="B168" s="2"/>
      <c r="C168" s="2"/>
      <c r="D168" s="2"/>
      <c r="E168" s="2"/>
      <c r="F168" s="2"/>
      <c r="G168" s="2"/>
    </row>
    <row r="169" ht="14.25" customHeight="1">
      <c r="A169" s="2"/>
      <c r="B169" s="2"/>
      <c r="C169" s="2"/>
      <c r="D169" s="2"/>
      <c r="E169" s="2"/>
      <c r="F169" s="2"/>
      <c r="G169" s="2"/>
    </row>
    <row r="170" ht="14.25" customHeight="1">
      <c r="A170" s="2"/>
      <c r="B170" s="2"/>
      <c r="C170" s="2"/>
      <c r="D170" s="2"/>
      <c r="E170" s="2"/>
      <c r="F170" s="2"/>
      <c r="G170" s="2"/>
    </row>
    <row r="171" ht="14.25" customHeight="1">
      <c r="A171" s="2"/>
      <c r="B171" s="2"/>
      <c r="C171" s="2"/>
      <c r="D171" s="2"/>
      <c r="E171" s="2"/>
      <c r="F171" s="2"/>
      <c r="G171" s="2"/>
    </row>
    <row r="172" ht="14.25" customHeight="1">
      <c r="A172" s="2"/>
      <c r="B172" s="2"/>
      <c r="C172" s="2"/>
      <c r="D172" s="2"/>
      <c r="E172" s="2"/>
      <c r="F172" s="2"/>
      <c r="G172" s="2"/>
    </row>
    <row r="173" ht="14.25" customHeight="1">
      <c r="A173" s="2"/>
      <c r="B173" s="2"/>
      <c r="C173" s="2"/>
      <c r="D173" s="2"/>
      <c r="E173" s="2"/>
      <c r="F173" s="2"/>
      <c r="G173" s="2"/>
    </row>
    <row r="174" ht="14.25" customHeight="1">
      <c r="A174" s="2"/>
      <c r="B174" s="2"/>
      <c r="C174" s="2"/>
      <c r="D174" s="2"/>
      <c r="E174" s="2"/>
      <c r="F174" s="2"/>
      <c r="G174" s="2"/>
    </row>
    <row r="175" ht="14.25" customHeight="1">
      <c r="A175" s="2"/>
      <c r="B175" s="2"/>
      <c r="C175" s="2"/>
      <c r="D175" s="2"/>
      <c r="E175" s="2"/>
      <c r="F175" s="2"/>
      <c r="G175" s="2"/>
    </row>
    <row r="176" ht="14.25" customHeight="1">
      <c r="A176" s="2"/>
      <c r="B176" s="2"/>
      <c r="C176" s="2"/>
      <c r="D176" s="2"/>
      <c r="E176" s="2"/>
      <c r="F176" s="2"/>
      <c r="G176" s="2"/>
    </row>
    <row r="177" ht="14.25" customHeight="1">
      <c r="A177" s="2"/>
      <c r="B177" s="2"/>
      <c r="C177" s="2"/>
      <c r="D177" s="2"/>
      <c r="E177" s="2"/>
      <c r="F177" s="2"/>
      <c r="G177" s="2"/>
    </row>
    <row r="178" ht="14.25" customHeight="1">
      <c r="A178" s="2"/>
      <c r="B178" s="2"/>
      <c r="C178" s="2"/>
      <c r="D178" s="2"/>
      <c r="E178" s="2"/>
      <c r="F178" s="2"/>
      <c r="G178" s="2"/>
    </row>
    <row r="179" ht="14.25" customHeight="1">
      <c r="A179" s="2"/>
      <c r="B179" s="2"/>
      <c r="C179" s="2"/>
      <c r="D179" s="2"/>
      <c r="E179" s="2"/>
      <c r="F179" s="2"/>
      <c r="G179" s="2"/>
    </row>
    <row r="180" ht="14.25" customHeight="1">
      <c r="A180" s="2"/>
      <c r="B180" s="2"/>
      <c r="C180" s="2"/>
      <c r="D180" s="2"/>
      <c r="E180" s="2"/>
      <c r="F180" s="2"/>
      <c r="G180" s="2"/>
    </row>
    <row r="181" ht="14.25" customHeight="1">
      <c r="A181" s="2"/>
      <c r="B181" s="2"/>
      <c r="C181" s="2"/>
      <c r="D181" s="2"/>
      <c r="E181" s="2"/>
      <c r="F181" s="2"/>
      <c r="G181" s="2"/>
    </row>
    <row r="182" ht="14.25" customHeight="1">
      <c r="A182" s="2"/>
      <c r="B182" s="2"/>
      <c r="C182" s="2"/>
      <c r="D182" s="2"/>
      <c r="E182" s="2"/>
      <c r="F182" s="2"/>
      <c r="G182" s="2"/>
    </row>
    <row r="183" ht="14.25" customHeight="1">
      <c r="A183" s="2"/>
      <c r="B183" s="2"/>
      <c r="C183" s="2"/>
      <c r="D183" s="2"/>
      <c r="E183" s="2"/>
      <c r="F183" s="2"/>
      <c r="G183" s="2"/>
    </row>
    <row r="184" ht="14.25" customHeight="1">
      <c r="A184" s="2"/>
      <c r="B184" s="2"/>
      <c r="C184" s="2"/>
      <c r="D184" s="2"/>
      <c r="E184" s="2"/>
      <c r="F184" s="2"/>
      <c r="G184" s="2"/>
    </row>
    <row r="185" ht="14.25" customHeight="1">
      <c r="A185" s="2"/>
      <c r="B185" s="2"/>
      <c r="C185" s="2"/>
      <c r="D185" s="2"/>
      <c r="E185" s="2"/>
      <c r="F185" s="2"/>
      <c r="G185" s="2"/>
    </row>
    <row r="186" ht="14.25" customHeight="1">
      <c r="A186" s="2"/>
      <c r="B186" s="2"/>
      <c r="C186" s="2"/>
      <c r="D186" s="2"/>
      <c r="E186" s="2"/>
      <c r="F186" s="2"/>
      <c r="G186" s="2"/>
    </row>
    <row r="187" ht="14.25" customHeight="1">
      <c r="A187" s="2"/>
      <c r="B187" s="2"/>
      <c r="C187" s="2"/>
      <c r="D187" s="2"/>
      <c r="E187" s="2"/>
      <c r="F187" s="2"/>
      <c r="G187" s="2"/>
    </row>
    <row r="188" ht="14.25" customHeight="1">
      <c r="A188" s="2"/>
      <c r="B188" s="2"/>
      <c r="C188" s="2"/>
      <c r="D188" s="2"/>
      <c r="E188" s="2"/>
      <c r="F188" s="2"/>
      <c r="G188" s="2"/>
    </row>
    <row r="189" ht="14.25" customHeight="1">
      <c r="A189" s="2"/>
      <c r="B189" s="2"/>
      <c r="C189" s="2"/>
      <c r="D189" s="2"/>
      <c r="E189" s="2"/>
      <c r="F189" s="2"/>
      <c r="G189" s="2"/>
    </row>
    <row r="190" ht="14.25" customHeight="1">
      <c r="A190" s="2"/>
      <c r="B190" s="2"/>
      <c r="C190" s="2"/>
      <c r="D190" s="2"/>
      <c r="E190" s="2"/>
      <c r="F190" s="2"/>
      <c r="G190" s="2"/>
    </row>
    <row r="191" ht="14.25" customHeight="1">
      <c r="A191" s="2"/>
      <c r="B191" s="2"/>
      <c r="C191" s="2"/>
      <c r="D191" s="2"/>
      <c r="E191" s="2"/>
      <c r="F191" s="2"/>
      <c r="G191" s="2"/>
    </row>
    <row r="192" ht="14.25" customHeight="1">
      <c r="A192" s="2"/>
      <c r="B192" s="2"/>
      <c r="C192" s="2"/>
      <c r="D192" s="2"/>
      <c r="E192" s="2"/>
      <c r="F192" s="2"/>
      <c r="G192" s="2"/>
    </row>
    <row r="193" ht="14.25" customHeight="1">
      <c r="A193" s="2"/>
      <c r="B193" s="2"/>
      <c r="C193" s="2"/>
      <c r="D193" s="2"/>
      <c r="E193" s="2"/>
      <c r="F193" s="2"/>
      <c r="G193" s="2"/>
    </row>
    <row r="194" ht="14.25" customHeight="1">
      <c r="A194" s="2"/>
      <c r="B194" s="2"/>
      <c r="C194" s="2"/>
      <c r="D194" s="2"/>
      <c r="E194" s="2"/>
      <c r="F194" s="2"/>
      <c r="G194" s="2"/>
    </row>
    <row r="195" ht="14.25" customHeight="1">
      <c r="A195" s="2"/>
      <c r="B195" s="2"/>
      <c r="C195" s="2"/>
      <c r="D195" s="2"/>
      <c r="E195" s="2"/>
      <c r="F195" s="2"/>
      <c r="G195" s="2"/>
    </row>
    <row r="196" ht="14.25" customHeight="1">
      <c r="A196" s="2"/>
      <c r="B196" s="2"/>
      <c r="C196" s="2"/>
      <c r="D196" s="2"/>
      <c r="E196" s="2"/>
      <c r="F196" s="2"/>
      <c r="G196" s="2"/>
    </row>
    <row r="197" ht="14.25" customHeight="1">
      <c r="A197" s="2"/>
      <c r="B197" s="2"/>
      <c r="C197" s="2"/>
      <c r="D197" s="2"/>
      <c r="E197" s="2"/>
      <c r="F197" s="2"/>
      <c r="G197" s="2"/>
    </row>
    <row r="198" ht="14.25" customHeight="1">
      <c r="A198" s="2"/>
      <c r="B198" s="2"/>
      <c r="C198" s="2"/>
      <c r="D198" s="2"/>
      <c r="E198" s="2"/>
      <c r="F198" s="2"/>
      <c r="G198" s="2"/>
    </row>
    <row r="199" ht="14.25" customHeight="1">
      <c r="A199" s="2"/>
      <c r="B199" s="2"/>
      <c r="C199" s="2"/>
      <c r="D199" s="2"/>
      <c r="E199" s="2"/>
      <c r="F199" s="2"/>
      <c r="G199" s="2"/>
    </row>
    <row r="200" ht="14.25" customHeight="1">
      <c r="A200" s="2"/>
      <c r="B200" s="2"/>
      <c r="C200" s="2"/>
      <c r="D200" s="2"/>
      <c r="E200" s="2"/>
      <c r="F200" s="2"/>
      <c r="G200" s="2"/>
    </row>
    <row r="201" ht="14.25" customHeight="1">
      <c r="A201" s="2"/>
      <c r="B201" s="2"/>
      <c r="C201" s="2"/>
      <c r="D201" s="2"/>
      <c r="E201" s="2"/>
      <c r="F201" s="2"/>
      <c r="G201" s="2"/>
    </row>
    <row r="202" ht="14.25" customHeight="1">
      <c r="A202" s="2"/>
      <c r="B202" s="2"/>
      <c r="C202" s="2"/>
      <c r="D202" s="2"/>
      <c r="E202" s="2"/>
      <c r="F202" s="2"/>
      <c r="G202" s="2"/>
    </row>
    <row r="203" ht="14.25" customHeight="1">
      <c r="A203" s="2"/>
      <c r="B203" s="2"/>
      <c r="C203" s="2"/>
      <c r="D203" s="2"/>
      <c r="E203" s="2"/>
      <c r="F203" s="2"/>
      <c r="G203" s="2"/>
    </row>
    <row r="204" ht="14.25" customHeight="1">
      <c r="A204" s="2"/>
      <c r="B204" s="2"/>
      <c r="C204" s="2"/>
      <c r="D204" s="2"/>
      <c r="E204" s="2"/>
      <c r="F204" s="2"/>
      <c r="G204" s="2"/>
    </row>
    <row r="205" ht="14.25" customHeight="1">
      <c r="A205" s="2"/>
      <c r="B205" s="2"/>
      <c r="C205" s="2"/>
      <c r="D205" s="2"/>
      <c r="E205" s="2"/>
      <c r="F205" s="2"/>
      <c r="G205" s="2"/>
    </row>
    <row r="206" ht="14.25" customHeight="1">
      <c r="A206" s="2"/>
      <c r="B206" s="2"/>
      <c r="C206" s="2"/>
      <c r="D206" s="2"/>
      <c r="E206" s="2"/>
      <c r="F206" s="2"/>
      <c r="G206" s="2"/>
    </row>
    <row r="207" ht="14.25" customHeight="1">
      <c r="A207" s="2"/>
      <c r="B207" s="2"/>
      <c r="C207" s="2"/>
      <c r="D207" s="2"/>
      <c r="E207" s="2"/>
      <c r="F207" s="2"/>
      <c r="G207" s="2"/>
    </row>
    <row r="208" ht="14.25" customHeight="1">
      <c r="A208" s="2"/>
      <c r="B208" s="2"/>
      <c r="C208" s="2"/>
      <c r="D208" s="2"/>
      <c r="E208" s="2"/>
      <c r="F208" s="2"/>
      <c r="G208" s="2"/>
    </row>
    <row r="209" ht="14.25" customHeight="1">
      <c r="A209" s="2"/>
      <c r="B209" s="2"/>
      <c r="C209" s="2"/>
      <c r="D209" s="2"/>
      <c r="E209" s="2"/>
      <c r="F209" s="2"/>
      <c r="G209" s="2"/>
    </row>
    <row r="210" ht="14.25" customHeight="1">
      <c r="A210" s="2"/>
      <c r="B210" s="2"/>
      <c r="C210" s="2"/>
      <c r="D210" s="2"/>
      <c r="E210" s="2"/>
      <c r="F210" s="2"/>
      <c r="G210" s="2"/>
    </row>
    <row r="211" ht="14.25" customHeight="1">
      <c r="A211" s="2"/>
      <c r="B211" s="2"/>
      <c r="C211" s="2"/>
      <c r="D211" s="2"/>
      <c r="E211" s="2"/>
      <c r="F211" s="2"/>
      <c r="G211" s="2"/>
    </row>
    <row r="212" ht="14.25" customHeight="1">
      <c r="A212" s="2"/>
      <c r="B212" s="2"/>
      <c r="C212" s="2"/>
      <c r="D212" s="2"/>
      <c r="E212" s="2"/>
      <c r="F212" s="2"/>
      <c r="G212" s="2"/>
    </row>
    <row r="213" ht="14.25" customHeight="1">
      <c r="A213" s="2"/>
      <c r="B213" s="2"/>
      <c r="C213" s="2"/>
      <c r="D213" s="2"/>
      <c r="E213" s="2"/>
      <c r="F213" s="2"/>
      <c r="G213" s="2"/>
    </row>
    <row r="214" ht="14.25" customHeight="1">
      <c r="A214" s="2"/>
      <c r="B214" s="2"/>
      <c r="C214" s="2"/>
      <c r="D214" s="2"/>
      <c r="E214" s="2"/>
      <c r="F214" s="2"/>
      <c r="G214" s="2"/>
    </row>
    <row r="215" ht="14.25" customHeight="1">
      <c r="A215" s="2"/>
      <c r="B215" s="2"/>
      <c r="C215" s="2"/>
      <c r="D215" s="2"/>
      <c r="E215" s="2"/>
      <c r="F215" s="2"/>
      <c r="G215" s="2"/>
    </row>
    <row r="216" ht="14.25" customHeight="1">
      <c r="A216" s="2"/>
      <c r="B216" s="2"/>
      <c r="C216" s="2"/>
      <c r="D216" s="2"/>
      <c r="E216" s="2"/>
      <c r="F216" s="2"/>
      <c r="G216" s="2"/>
    </row>
    <row r="217" ht="14.25" customHeight="1">
      <c r="A217" s="2"/>
      <c r="B217" s="2"/>
      <c r="C217" s="2"/>
      <c r="D217" s="2"/>
      <c r="E217" s="2"/>
      <c r="F217" s="2"/>
      <c r="G217" s="2"/>
    </row>
    <row r="218" ht="14.25" customHeight="1">
      <c r="A218" s="2"/>
      <c r="B218" s="2"/>
      <c r="C218" s="2"/>
      <c r="D218" s="2"/>
      <c r="E218" s="2"/>
      <c r="F218" s="2"/>
      <c r="G218" s="2"/>
    </row>
    <row r="219" ht="14.25" customHeight="1">
      <c r="A219" s="2"/>
      <c r="B219" s="2"/>
      <c r="C219" s="2"/>
      <c r="D219" s="2"/>
      <c r="E219" s="2"/>
      <c r="F219" s="2"/>
      <c r="G219" s="2"/>
    </row>
    <row r="220" ht="14.25" customHeight="1">
      <c r="A220" s="2"/>
      <c r="B220" s="2"/>
      <c r="C220" s="2"/>
      <c r="D220" s="2"/>
      <c r="E220" s="2"/>
      <c r="F220" s="2"/>
      <c r="G220" s="2"/>
    </row>
    <row r="221" ht="14.25" customHeight="1">
      <c r="A221" s="2"/>
      <c r="B221" s="2"/>
      <c r="C221" s="2"/>
      <c r="D221" s="2"/>
      <c r="E221" s="2"/>
      <c r="F221" s="2"/>
      <c r="G221" s="2"/>
    </row>
    <row r="222" ht="14.25" customHeight="1">
      <c r="A222" s="2"/>
      <c r="B222" s="2"/>
      <c r="C222" s="2"/>
      <c r="D222" s="2"/>
      <c r="E222" s="2"/>
      <c r="F222" s="2"/>
      <c r="G222" s="2"/>
    </row>
    <row r="223" ht="14.25" customHeight="1">
      <c r="A223" s="2"/>
      <c r="B223" s="2"/>
      <c r="C223" s="2"/>
      <c r="D223" s="2"/>
      <c r="E223" s="2"/>
      <c r="F223" s="2"/>
      <c r="G223" s="2"/>
    </row>
    <row r="224" ht="14.25" customHeight="1">
      <c r="A224" s="2"/>
      <c r="B224" s="2"/>
      <c r="C224" s="2"/>
      <c r="D224" s="2"/>
      <c r="E224" s="2"/>
      <c r="F224" s="2"/>
      <c r="G224" s="2"/>
    </row>
    <row r="225" ht="14.25" customHeight="1">
      <c r="A225" s="2"/>
      <c r="B225" s="2"/>
      <c r="C225" s="2"/>
      <c r="D225" s="2"/>
      <c r="E225" s="2"/>
      <c r="F225" s="2"/>
      <c r="G225" s="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0"/>
    <col customWidth="1" min="2" max="2" width="18.0"/>
    <col customWidth="1" min="3" max="3" width="32.71"/>
    <col customWidth="1" min="4" max="4" width="26.0"/>
    <col customWidth="1" min="5" max="5" width="44.0"/>
    <col customWidth="1" min="6" max="6" width="32.0"/>
    <col customWidth="1" min="7" max="7" width="44.0"/>
    <col customWidth="1" min="8" max="8" width="64.43"/>
    <col customWidth="1" min="9" max="9" width="13.0"/>
    <col customWidth="1" min="10" max="10" width="27.0"/>
    <col customWidth="1" min="11" max="11" width="13.0"/>
    <col customWidth="1" min="12" max="12" width="14.0"/>
    <col customWidth="1" min="13" max="13" width="30.0"/>
    <col customWidth="1" min="14" max="14" width="62.0"/>
    <col customWidth="1" min="15" max="15" width="22.0"/>
  </cols>
  <sheetData>
    <row r="1" ht="30.0" customHeight="1">
      <c r="A1" s="4" t="s">
        <v>70</v>
      </c>
      <c r="B1" s="4" t="s">
        <v>41</v>
      </c>
      <c r="C1" s="4" t="s">
        <v>71</v>
      </c>
      <c r="D1" s="4" t="s">
        <v>72</v>
      </c>
      <c r="E1" s="4" t="s">
        <v>73</v>
      </c>
      <c r="F1" s="4" t="s">
        <v>74</v>
      </c>
      <c r="G1" s="4" t="s">
        <v>75</v>
      </c>
      <c r="H1" s="4" t="s">
        <v>76</v>
      </c>
      <c r="I1" s="4" t="s">
        <v>77</v>
      </c>
      <c r="J1" s="4" t="s">
        <v>78</v>
      </c>
      <c r="K1" s="4" t="s">
        <v>79</v>
      </c>
      <c r="L1" s="4" t="s">
        <v>80</v>
      </c>
      <c r="M1" s="4" t="s">
        <v>81</v>
      </c>
      <c r="N1" s="4" t="s">
        <v>82</v>
      </c>
      <c r="O1" s="4" t="s">
        <v>83</v>
      </c>
    </row>
    <row r="2" ht="44.25" customHeight="1">
      <c r="A2" s="5" t="s">
        <v>84</v>
      </c>
      <c r="B2" s="5" t="s">
        <v>48</v>
      </c>
      <c r="C2" s="5" t="s">
        <v>85</v>
      </c>
      <c r="D2" s="5" t="s">
        <v>86</v>
      </c>
      <c r="E2" s="5" t="s">
        <v>87</v>
      </c>
      <c r="F2" s="5" t="s">
        <v>88</v>
      </c>
      <c r="G2" s="5" t="s">
        <v>89</v>
      </c>
      <c r="H2" s="11" t="s">
        <v>90</v>
      </c>
      <c r="I2" s="12" t="s">
        <v>43</v>
      </c>
      <c r="J2" s="11" t="s">
        <v>91</v>
      </c>
      <c r="K2" s="13">
        <v>46302.0</v>
      </c>
      <c r="L2" s="11" t="s">
        <v>92</v>
      </c>
      <c r="M2" s="5" t="s">
        <v>19</v>
      </c>
      <c r="N2" s="5" t="s">
        <v>93</v>
      </c>
      <c r="O2" s="5" t="s">
        <v>67</v>
      </c>
    </row>
    <row r="3" ht="71.25" customHeight="1">
      <c r="A3" s="5" t="s">
        <v>94</v>
      </c>
      <c r="B3" s="5" t="s">
        <v>48</v>
      </c>
      <c r="C3" s="5" t="s">
        <v>95</v>
      </c>
      <c r="D3" s="5" t="s">
        <v>96</v>
      </c>
      <c r="E3" s="5" t="s">
        <v>97</v>
      </c>
      <c r="F3" s="5" t="s">
        <v>98</v>
      </c>
      <c r="G3" s="5" t="s">
        <v>99</v>
      </c>
      <c r="H3" s="11" t="s">
        <v>100</v>
      </c>
      <c r="I3" s="11" t="s">
        <v>43</v>
      </c>
      <c r="J3" s="11"/>
      <c r="K3" s="13">
        <v>46302.0</v>
      </c>
      <c r="L3" s="11" t="s">
        <v>92</v>
      </c>
      <c r="M3" s="5" t="s">
        <v>19</v>
      </c>
      <c r="N3" s="5" t="s">
        <v>101</v>
      </c>
      <c r="O3" s="5" t="s">
        <v>68</v>
      </c>
    </row>
    <row r="4" ht="23.25" customHeight="1">
      <c r="A4" s="5" t="s">
        <v>102</v>
      </c>
      <c r="B4" s="5" t="s">
        <v>48</v>
      </c>
      <c r="C4" s="5" t="s">
        <v>103</v>
      </c>
      <c r="D4" s="5" t="s">
        <v>96</v>
      </c>
      <c r="E4" s="5" t="s">
        <v>104</v>
      </c>
      <c r="F4" s="5" t="s">
        <v>105</v>
      </c>
      <c r="G4" s="5" t="s">
        <v>106</v>
      </c>
      <c r="H4" s="11" t="s">
        <v>100</v>
      </c>
      <c r="I4" s="11" t="s">
        <v>43</v>
      </c>
      <c r="J4" s="11"/>
      <c r="K4" s="13">
        <v>46302.0</v>
      </c>
      <c r="L4" s="11" t="s">
        <v>92</v>
      </c>
      <c r="M4" s="5" t="s">
        <v>19</v>
      </c>
      <c r="N4" s="5" t="s">
        <v>107</v>
      </c>
      <c r="O4" s="5" t="s">
        <v>69</v>
      </c>
    </row>
    <row r="5" ht="23.25" customHeight="1">
      <c r="A5" s="5" t="s">
        <v>108</v>
      </c>
      <c r="B5" s="5" t="s">
        <v>48</v>
      </c>
      <c r="C5" s="5" t="s">
        <v>109</v>
      </c>
      <c r="D5" s="5" t="s">
        <v>96</v>
      </c>
      <c r="E5" s="5" t="s">
        <v>110</v>
      </c>
      <c r="F5" s="5" t="s">
        <v>111</v>
      </c>
      <c r="G5" s="5" t="s">
        <v>112</v>
      </c>
      <c r="H5" s="11" t="s">
        <v>100</v>
      </c>
      <c r="I5" s="11" t="s">
        <v>43</v>
      </c>
      <c r="J5" s="11"/>
      <c r="K5" s="13">
        <v>46302.0</v>
      </c>
      <c r="L5" s="11" t="s">
        <v>92</v>
      </c>
      <c r="M5" s="5" t="s">
        <v>19</v>
      </c>
      <c r="N5" s="5" t="s">
        <v>107</v>
      </c>
      <c r="O5" s="5" t="s">
        <v>69</v>
      </c>
    </row>
    <row r="6" ht="23.25" customHeight="1">
      <c r="A6" s="5" t="s">
        <v>113</v>
      </c>
      <c r="B6" s="5" t="s">
        <v>49</v>
      </c>
      <c r="C6" s="5" t="s">
        <v>114</v>
      </c>
      <c r="D6" s="5" t="s">
        <v>96</v>
      </c>
      <c r="E6" s="5" t="s">
        <v>115</v>
      </c>
      <c r="F6" s="5" t="s">
        <v>116</v>
      </c>
      <c r="G6" s="5" t="s">
        <v>117</v>
      </c>
      <c r="H6" s="11" t="s">
        <v>118</v>
      </c>
      <c r="I6" s="11" t="s">
        <v>43</v>
      </c>
      <c r="J6" s="11"/>
      <c r="K6" s="13">
        <v>46302.0</v>
      </c>
      <c r="L6" s="11" t="s">
        <v>92</v>
      </c>
      <c r="M6" s="5" t="s">
        <v>19</v>
      </c>
      <c r="N6" s="5" t="s">
        <v>107</v>
      </c>
      <c r="O6" s="5" t="s">
        <v>69</v>
      </c>
    </row>
    <row r="7" ht="15.0" customHeight="1">
      <c r="A7" s="5" t="s">
        <v>119</v>
      </c>
      <c r="B7" s="5" t="s">
        <v>49</v>
      </c>
      <c r="C7" s="5" t="s">
        <v>120</v>
      </c>
      <c r="D7" s="5" t="s">
        <v>96</v>
      </c>
      <c r="E7" s="5" t="s">
        <v>121</v>
      </c>
      <c r="F7" s="5" t="s">
        <v>122</v>
      </c>
      <c r="G7" s="5" t="s">
        <v>123</v>
      </c>
      <c r="H7" s="11" t="s">
        <v>100</v>
      </c>
      <c r="I7" s="11" t="s">
        <v>43</v>
      </c>
      <c r="J7" s="11"/>
      <c r="K7" s="13">
        <v>46302.0</v>
      </c>
      <c r="L7" s="11" t="s">
        <v>92</v>
      </c>
      <c r="M7" s="5" t="s">
        <v>19</v>
      </c>
      <c r="N7" s="5" t="s">
        <v>107</v>
      </c>
      <c r="O7" s="5" t="s">
        <v>69</v>
      </c>
    </row>
    <row r="8" ht="44.25" customHeight="1">
      <c r="A8" s="5" t="s">
        <v>124</v>
      </c>
      <c r="B8" s="5" t="s">
        <v>49</v>
      </c>
      <c r="C8" s="5" t="s">
        <v>125</v>
      </c>
      <c r="D8" s="5" t="s">
        <v>126</v>
      </c>
      <c r="E8" s="5" t="s">
        <v>127</v>
      </c>
      <c r="F8" s="5" t="s">
        <v>128</v>
      </c>
      <c r="G8" s="5" t="s">
        <v>129</v>
      </c>
      <c r="H8" s="11" t="s">
        <v>100</v>
      </c>
      <c r="I8" s="11" t="s">
        <v>43</v>
      </c>
      <c r="J8" s="14"/>
      <c r="K8" s="13">
        <v>46303.0</v>
      </c>
      <c r="L8" s="11" t="s">
        <v>92</v>
      </c>
      <c r="M8" s="5" t="s">
        <v>19</v>
      </c>
      <c r="N8" s="5" t="s">
        <v>130</v>
      </c>
      <c r="O8" s="5" t="s">
        <v>67</v>
      </c>
    </row>
    <row r="9" ht="23.25" customHeight="1">
      <c r="A9" s="5" t="s">
        <v>131</v>
      </c>
      <c r="B9" s="5" t="s">
        <v>49</v>
      </c>
      <c r="C9" s="5" t="s">
        <v>132</v>
      </c>
      <c r="D9" s="5" t="s">
        <v>133</v>
      </c>
      <c r="E9" s="5" t="s">
        <v>134</v>
      </c>
      <c r="F9" s="5" t="s">
        <v>135</v>
      </c>
      <c r="G9" s="5" t="s">
        <v>136</v>
      </c>
      <c r="H9" s="11" t="s">
        <v>100</v>
      </c>
      <c r="I9" s="11" t="s">
        <v>43</v>
      </c>
      <c r="J9" s="11"/>
      <c r="K9" s="13">
        <v>46303.0</v>
      </c>
      <c r="L9" s="11" t="s">
        <v>92</v>
      </c>
      <c r="M9" s="5" t="s">
        <v>19</v>
      </c>
      <c r="N9" s="5" t="s">
        <v>107</v>
      </c>
      <c r="O9" s="5" t="s">
        <v>69</v>
      </c>
    </row>
    <row r="10" ht="23.25" customHeight="1">
      <c r="A10" s="5" t="s">
        <v>137</v>
      </c>
      <c r="B10" s="5" t="s">
        <v>49</v>
      </c>
      <c r="C10" s="5" t="s">
        <v>138</v>
      </c>
      <c r="D10" s="5" t="s">
        <v>139</v>
      </c>
      <c r="E10" s="5" t="s">
        <v>140</v>
      </c>
      <c r="F10" s="5" t="s">
        <v>141</v>
      </c>
      <c r="G10" s="5" t="s">
        <v>142</v>
      </c>
      <c r="H10" s="11" t="s">
        <v>100</v>
      </c>
      <c r="I10" s="11" t="s">
        <v>43</v>
      </c>
      <c r="J10" s="11"/>
      <c r="K10" s="13">
        <v>46303.0</v>
      </c>
      <c r="L10" s="11" t="s">
        <v>92</v>
      </c>
      <c r="M10" s="5" t="s">
        <v>19</v>
      </c>
      <c r="N10" s="5" t="s">
        <v>107</v>
      </c>
      <c r="O10" s="5" t="s">
        <v>69</v>
      </c>
    </row>
    <row r="11" ht="23.25" customHeight="1">
      <c r="A11" s="5" t="s">
        <v>143</v>
      </c>
      <c r="B11" s="5" t="s">
        <v>49</v>
      </c>
      <c r="C11" s="5" t="s">
        <v>144</v>
      </c>
      <c r="D11" s="5" t="s">
        <v>133</v>
      </c>
      <c r="E11" s="5" t="s">
        <v>145</v>
      </c>
      <c r="F11" s="5" t="s">
        <v>146</v>
      </c>
      <c r="G11" s="5" t="s">
        <v>147</v>
      </c>
      <c r="H11" s="11" t="s">
        <v>100</v>
      </c>
      <c r="I11" s="11" t="s">
        <v>43</v>
      </c>
      <c r="J11" s="11"/>
      <c r="K11" s="13">
        <v>46303.0</v>
      </c>
      <c r="L11" s="11" t="s">
        <v>92</v>
      </c>
      <c r="M11" s="5" t="s">
        <v>19</v>
      </c>
      <c r="N11" s="5" t="s">
        <v>107</v>
      </c>
      <c r="O11" s="5" t="s">
        <v>69</v>
      </c>
    </row>
    <row r="12" ht="23.25" customHeight="1">
      <c r="A12" s="5" t="s">
        <v>148</v>
      </c>
      <c r="B12" s="5" t="s">
        <v>49</v>
      </c>
      <c r="C12" s="5" t="s">
        <v>149</v>
      </c>
      <c r="D12" s="5" t="s">
        <v>150</v>
      </c>
      <c r="E12" s="5" t="s">
        <v>151</v>
      </c>
      <c r="F12" s="5" t="s">
        <v>152</v>
      </c>
      <c r="G12" s="5" t="s">
        <v>153</v>
      </c>
      <c r="H12" s="11" t="s">
        <v>100</v>
      </c>
      <c r="I12" s="11" t="s">
        <v>43</v>
      </c>
      <c r="J12" s="11"/>
      <c r="K12" s="13">
        <v>46303.0</v>
      </c>
      <c r="L12" s="11" t="s">
        <v>92</v>
      </c>
      <c r="M12" s="5" t="s">
        <v>19</v>
      </c>
      <c r="N12" s="5" t="s">
        <v>107</v>
      </c>
      <c r="O12" s="5" t="s">
        <v>69</v>
      </c>
    </row>
    <row r="13" ht="23.25" customHeight="1">
      <c r="A13" s="5" t="s">
        <v>154</v>
      </c>
      <c r="B13" s="5" t="s">
        <v>50</v>
      </c>
      <c r="C13" s="5" t="s">
        <v>155</v>
      </c>
      <c r="D13" s="5" t="s">
        <v>133</v>
      </c>
      <c r="E13" s="5" t="s">
        <v>156</v>
      </c>
      <c r="F13" s="5" t="s">
        <v>157</v>
      </c>
      <c r="G13" s="5" t="s">
        <v>158</v>
      </c>
      <c r="H13" s="11" t="s">
        <v>100</v>
      </c>
      <c r="I13" s="11" t="s">
        <v>43</v>
      </c>
      <c r="J13" s="11"/>
      <c r="K13" s="13">
        <v>46303.0</v>
      </c>
      <c r="L13" s="11" t="s">
        <v>92</v>
      </c>
      <c r="M13" s="5" t="s">
        <v>19</v>
      </c>
      <c r="N13" s="5" t="s">
        <v>107</v>
      </c>
      <c r="O13" s="5" t="s">
        <v>69</v>
      </c>
    </row>
    <row r="14" ht="85.0" customHeight="1">
      <c r="A14" s="5" t="s">
        <v>159</v>
      </c>
      <c r="B14" s="5" t="s">
        <v>51</v>
      </c>
      <c r="C14" s="5" t="s">
        <v>160</v>
      </c>
      <c r="D14" s="5" t="s">
        <v>96</v>
      </c>
      <c r="E14" s="5" t="s">
        <v>161</v>
      </c>
      <c r="F14" s="5" t="s">
        <v>162</v>
      </c>
      <c r="G14" s="5" t="s">
        <v>163</v>
      </c>
      <c r="H14" s="11" t="s">
        <v>164</v>
      </c>
      <c r="I14" s="11" t="s">
        <v>43</v>
      </c>
      <c r="J14" s="11"/>
      <c r="K14" s="13">
        <v>46303.0</v>
      </c>
      <c r="L14" s="11" t="s">
        <v>92</v>
      </c>
      <c r="M14" s="5" t="s">
        <v>19</v>
      </c>
      <c r="N14" s="5" t="inlineStr">
        <is>
          <t xml:space="preserve">Ronde 2 (9 Okt): Gambar kamar tidak tampil karena folder upload gambar kamar (room_setting) tidak bisa ditulis web server di VM. Skrip deploy kini memberi izin tulis ke SEMUA folder upload modul (kamar, fasilitas, hall, menu, pegawai). Unggah ulang gambar kamar setelah deploy. Berlaku setelah rilis berikutnya di-deploy (sertakan migrasi 011–012) dan cache Cloudflare di-purge.</t>
        </is>
      </c>
      <c r="O14" s="5" t="inlineStr">
        <is>
          <t xml:space="preserve">Diperbaiki – uji ulang</t>
        </is>
      </c>
    </row>
    <row r="15" ht="23.25" customHeight="1">
      <c r="A15" s="5" t="s">
        <v>166</v>
      </c>
      <c r="B15" s="5" t="s">
        <v>51</v>
      </c>
      <c r="C15" s="5" t="s">
        <v>167</v>
      </c>
      <c r="D15" s="5" t="s">
        <v>168</v>
      </c>
      <c r="E15" s="5" t="s">
        <v>169</v>
      </c>
      <c r="F15" s="5" t="s">
        <v>170</v>
      </c>
      <c r="G15" s="5" t="s">
        <v>171</v>
      </c>
      <c r="H15" s="11" t="s">
        <v>118</v>
      </c>
      <c r="I15" s="11" t="s">
        <v>43</v>
      </c>
      <c r="J15" s="11"/>
      <c r="K15" s="13">
        <v>46303.0</v>
      </c>
      <c r="L15" s="11" t="s">
        <v>92</v>
      </c>
      <c r="M15" s="5" t="s">
        <v>19</v>
      </c>
      <c r="N15" s="5" t="s">
        <v>107</v>
      </c>
      <c r="O15" s="5" t="s">
        <v>69</v>
      </c>
    </row>
    <row r="16" ht="23.25" customHeight="1">
      <c r="A16" s="5" t="s">
        <v>172</v>
      </c>
      <c r="B16" s="5" t="s">
        <v>51</v>
      </c>
      <c r="C16" s="5" t="s">
        <v>173</v>
      </c>
      <c r="D16" s="5" t="s">
        <v>174</v>
      </c>
      <c r="E16" s="5" t="s">
        <v>175</v>
      </c>
      <c r="F16" s="5" t="s">
        <v>176</v>
      </c>
      <c r="G16" s="5" t="s">
        <v>177</v>
      </c>
      <c r="H16" s="11" t="s">
        <v>118</v>
      </c>
      <c r="I16" s="11" t="s">
        <v>43</v>
      </c>
      <c r="J16" s="11"/>
      <c r="K16" s="13">
        <v>46303.0</v>
      </c>
      <c r="L16" s="11" t="s">
        <v>92</v>
      </c>
      <c r="M16" s="5" t="s">
        <v>19</v>
      </c>
      <c r="N16" s="5" t="s">
        <v>107</v>
      </c>
      <c r="O16" s="5" t="s">
        <v>69</v>
      </c>
    </row>
    <row r="17" ht="23.25" customHeight="1">
      <c r="A17" s="5" t="s">
        <v>178</v>
      </c>
      <c r="B17" s="5" t="s">
        <v>51</v>
      </c>
      <c r="C17" s="5" t="s">
        <v>179</v>
      </c>
      <c r="D17" s="5" t="s">
        <v>96</v>
      </c>
      <c r="E17" s="5" t="s">
        <v>180</v>
      </c>
      <c r="F17" s="5" t="s">
        <v>181</v>
      </c>
      <c r="G17" s="5" t="s">
        <v>182</v>
      </c>
      <c r="H17" s="11" t="s">
        <v>118</v>
      </c>
      <c r="I17" s="11" t="s">
        <v>43</v>
      </c>
      <c r="J17" s="11"/>
      <c r="K17" s="13">
        <v>46303.0</v>
      </c>
      <c r="L17" s="11" t="s">
        <v>92</v>
      </c>
      <c r="M17" s="5" t="s">
        <v>19</v>
      </c>
      <c r="N17" s="5" t="s">
        <v>107</v>
      </c>
      <c r="O17" s="5" t="s">
        <v>69</v>
      </c>
    </row>
    <row r="18" ht="23.25" customHeight="1">
      <c r="A18" s="5" t="s">
        <v>183</v>
      </c>
      <c r="B18" s="5" t="s">
        <v>51</v>
      </c>
      <c r="C18" s="5" t="s">
        <v>184</v>
      </c>
      <c r="D18" s="5" t="s">
        <v>174</v>
      </c>
      <c r="E18" s="5" t="s">
        <v>185</v>
      </c>
      <c r="F18" s="5" t="s">
        <v>186</v>
      </c>
      <c r="G18" s="5" t="s">
        <v>187</v>
      </c>
      <c r="H18" s="11" t="s">
        <v>118</v>
      </c>
      <c r="I18" s="11" t="s">
        <v>43</v>
      </c>
      <c r="J18" s="11"/>
      <c r="K18" s="13">
        <v>46303.0</v>
      </c>
      <c r="L18" s="11" t="s">
        <v>92</v>
      </c>
      <c r="M18" s="5" t="s">
        <v>19</v>
      </c>
      <c r="N18" s="5" t="s">
        <v>107</v>
      </c>
      <c r="O18" s="5" t="s">
        <v>69</v>
      </c>
    </row>
    <row r="19" ht="57.75" customHeight="1">
      <c r="A19" s="5" t="s">
        <v>188</v>
      </c>
      <c r="B19" s="5" t="s">
        <v>51</v>
      </c>
      <c r="C19" s="5" t="s">
        <v>189</v>
      </c>
      <c r="D19" s="5" t="s">
        <v>190</v>
      </c>
      <c r="E19" s="5" t="s">
        <v>191</v>
      </c>
      <c r="F19" s="5" t="s">
        <v>96</v>
      </c>
      <c r="G19" s="5" t="s">
        <v>192</v>
      </c>
      <c r="H19" s="11" t="s">
        <v>118</v>
      </c>
      <c r="I19" s="12" t="s">
        <v>43</v>
      </c>
      <c r="J19" s="14" t="s">
        <v>193</v>
      </c>
      <c r="K19" s="13">
        <v>46303.0</v>
      </c>
      <c r="L19" s="11" t="s">
        <v>92</v>
      </c>
      <c r="M19" s="5" t="s">
        <v>19</v>
      </c>
      <c r="N19" s="5" t="s">
        <v>194</v>
      </c>
      <c r="O19" s="5" t="s">
        <v>67</v>
      </c>
    </row>
    <row r="20" ht="57.75" customHeight="1">
      <c r="A20" s="5" t="s">
        <v>195</v>
      </c>
      <c r="B20" s="5" t="s">
        <v>52</v>
      </c>
      <c r="C20" s="5" t="s">
        <v>196</v>
      </c>
      <c r="D20" s="5" t="s">
        <v>96</v>
      </c>
      <c r="E20" s="5" t="s">
        <v>197</v>
      </c>
      <c r="F20" s="5" t="s">
        <v>198</v>
      </c>
      <c r="G20" s="5" t="s">
        <v>199</v>
      </c>
      <c r="H20" s="11" t="s">
        <v>118</v>
      </c>
      <c r="I20" s="12" t="s">
        <v>43</v>
      </c>
      <c r="J20" s="14" t="s">
        <v>200</v>
      </c>
      <c r="K20" s="13">
        <v>46303.0</v>
      </c>
      <c r="L20" s="11" t="s">
        <v>92</v>
      </c>
      <c r="M20" s="5" t="s">
        <v>19</v>
      </c>
      <c r="N20" s="5" t="s">
        <v>201</v>
      </c>
      <c r="O20" s="5" t="s">
        <v>67</v>
      </c>
    </row>
    <row r="21" ht="98.25" customHeight="1">
      <c r="A21" s="5" t="s">
        <v>202</v>
      </c>
      <c r="B21" s="5" t="s">
        <v>52</v>
      </c>
      <c r="C21" s="5" t="s">
        <v>203</v>
      </c>
      <c r="D21" s="5" t="s">
        <v>204</v>
      </c>
      <c r="E21" s="5" t="s">
        <v>205</v>
      </c>
      <c r="F21" s="5" t="s">
        <v>206</v>
      </c>
      <c r="G21" s="5" t="s">
        <v>207</v>
      </c>
      <c r="H21" s="15" t="s">
        <v>208</v>
      </c>
      <c r="I21" s="11" t="s">
        <v>44</v>
      </c>
      <c r="J21" s="14" t="s">
        <v>209</v>
      </c>
      <c r="K21" s="11"/>
      <c r="L21" s="11"/>
      <c r="M21" s="5" t="s">
        <v>19</v>
      </c>
      <c r="N21" s="5" t="inlineStr">
        <is>
          <t xml:space="preserve">Ronde 2 (9 Okt): Tahun buku kini dibuat otomatis bila tidak ada yang mencakup hari ini (dulu migrasi hanya mengisi tabel yang kosong total). Bila masih gagal setelah deploy, jalankan "sudo -u www-data php pbjt_diagnosa.php" di server dan kirim hasilnya; skrip memeriksa migrasi, tahun buku, dan 5 booking terakhir per tenant. Berlaku setelah rilis berikutnya di-deploy (sertakan migrasi 011–012) dan cache Cloudflare di-purge.</t>
        </is>
      </c>
      <c r="O21" s="5" t="inlineStr">
        <is>
          <t xml:space="preserve">Diperbaiki – uji ulang</t>
        </is>
      </c>
    </row>
    <row r="22" ht="44.25" customHeight="1">
      <c r="A22" s="5" t="s">
        <v>211</v>
      </c>
      <c r="B22" s="5" t="s">
        <v>52</v>
      </c>
      <c r="C22" s="5" t="s">
        <v>212</v>
      </c>
      <c r="D22" s="5" t="s">
        <v>213</v>
      </c>
      <c r="E22" s="5" t="s">
        <v>214</v>
      </c>
      <c r="F22" s="5" t="s">
        <v>215</v>
      </c>
      <c r="G22" s="5" t="s">
        <v>216</v>
      </c>
      <c r="H22" s="16" t="s">
        <v>217</v>
      </c>
      <c r="I22" s="11" t="s">
        <v>44</v>
      </c>
      <c r="J22" s="14" t="s">
        <v>209</v>
      </c>
      <c r="K22" s="11"/>
      <c r="L22" s="11"/>
      <c r="M22" s="5" t="s">
        <v>19</v>
      </c>
      <c r="N22" s="5" t="s">
        <v>218</v>
      </c>
      <c r="O22" s="5" t="s">
        <v>67</v>
      </c>
    </row>
    <row r="23" ht="44.25" customHeight="1">
      <c r="A23" s="5" t="s">
        <v>219</v>
      </c>
      <c r="B23" s="5" t="s">
        <v>52</v>
      </c>
      <c r="C23" s="5" t="s">
        <v>220</v>
      </c>
      <c r="D23" s="5" t="s">
        <v>221</v>
      </c>
      <c r="E23" s="5" t="s">
        <v>222</v>
      </c>
      <c r="F23" s="5" t="s">
        <v>223</v>
      </c>
      <c r="G23" s="5" t="s">
        <v>224</v>
      </c>
      <c r="H23" s="16" t="s">
        <v>217</v>
      </c>
      <c r="I23" s="11" t="s">
        <v>44</v>
      </c>
      <c r="J23" s="14" t="s">
        <v>225</v>
      </c>
      <c r="K23" s="11"/>
      <c r="L23" s="11"/>
      <c r="M23" s="5" t="s">
        <v>19</v>
      </c>
      <c r="N23" s="5" t="s">
        <v>226</v>
      </c>
      <c r="O23" s="5" t="s">
        <v>67</v>
      </c>
    </row>
    <row r="24" ht="44.25" customHeight="1">
      <c r="A24" s="5" t="s">
        <v>227</v>
      </c>
      <c r="B24" s="5" t="s">
        <v>52</v>
      </c>
      <c r="C24" s="5" t="s">
        <v>228</v>
      </c>
      <c r="D24" s="5" t="s">
        <v>229</v>
      </c>
      <c r="E24" s="5" t="s">
        <v>230</v>
      </c>
      <c r="F24" s="5" t="s">
        <v>231</v>
      </c>
      <c r="G24" s="5" t="s">
        <v>232</v>
      </c>
      <c r="H24" s="16" t="s">
        <v>233</v>
      </c>
      <c r="I24" s="11" t="s">
        <v>44</v>
      </c>
      <c r="J24" s="11"/>
      <c r="K24" s="11"/>
      <c r="L24" s="11"/>
      <c r="M24" s="5" t="s">
        <v>19</v>
      </c>
      <c r="N24" s="5" t="s">
        <v>234</v>
      </c>
      <c r="O24" s="5" t="s">
        <v>67</v>
      </c>
    </row>
    <row r="25" ht="15.0" customHeight="1">
      <c r="A25" s="5" t="s">
        <v>235</v>
      </c>
      <c r="B25" s="5" t="s">
        <v>52</v>
      </c>
      <c r="C25" s="5" t="s">
        <v>236</v>
      </c>
      <c r="D25" s="5" t="s">
        <v>221</v>
      </c>
      <c r="E25" s="5" t="s">
        <v>237</v>
      </c>
      <c r="F25" s="5" t="s">
        <v>238</v>
      </c>
      <c r="G25" s="5" t="s">
        <v>239</v>
      </c>
      <c r="H25" s="11" t="s">
        <v>100</v>
      </c>
      <c r="I25" s="11" t="s">
        <v>43</v>
      </c>
      <c r="J25" s="11"/>
      <c r="K25" s="11"/>
      <c r="L25" s="11"/>
      <c r="M25" s="5" t="s">
        <v>19</v>
      </c>
      <c r="N25" s="5" t="s">
        <v>107</v>
      </c>
      <c r="O25" s="5" t="s">
        <v>69</v>
      </c>
    </row>
    <row r="26" ht="71.5" customHeight="1">
      <c r="A26" s="5" t="s">
        <v>240</v>
      </c>
      <c r="B26" s="5" t="s">
        <v>53</v>
      </c>
      <c r="C26" s="5" t="s">
        <v>241</v>
      </c>
      <c r="D26" s="5" t="s">
        <v>96</v>
      </c>
      <c r="E26" s="5" t="s">
        <v>242</v>
      </c>
      <c r="F26" s="5" t="s">
        <v>243</v>
      </c>
      <c r="G26" s="5" t="s">
        <v>244</v>
      </c>
      <c r="H26" s="15" t="s">
        <v>245</v>
      </c>
      <c r="I26" s="11" t="s">
        <v>44</v>
      </c>
      <c r="J26" s="14" t="s">
        <v>246</v>
      </c>
      <c r="K26" s="17">
        <v>46304.0</v>
      </c>
      <c r="L26" s="11" t="s">
        <v>247</v>
      </c>
      <c r="M26" s="5" t="s">
        <v>31</v>
      </c>
      <c r="N26" s="5" t="inlineStr">
        <is>
          <t xml:space="preserve">Ronde 2 (9 Okt): Gambar menu yang diunggah SEBELUM perbaikan izin folder tersimpan tanpa gambar: edit item &amp; unggah ulang. Aplikasi kini menampilkan pesan bila upload gagal. Status per item &amp; izin folder dapat dicek dengan pbjt_diagnosa.php. Berlaku setelah rilis berikutnya di-deploy (sertakan migrasi 011–012) dan cache Cloudflare di-purge.</t>
        </is>
      </c>
      <c r="O26" s="5" t="inlineStr">
        <is>
          <t xml:space="preserve">Diperbaiki – uji ulang</t>
        </is>
      </c>
    </row>
    <row r="27" ht="23.25" customHeight="1">
      <c r="A27" s="5" t="s">
        <v>249</v>
      </c>
      <c r="B27" s="5" t="s">
        <v>53</v>
      </c>
      <c r="C27" s="5" t="s">
        <v>250</v>
      </c>
      <c r="D27" s="5" t="s">
        <v>251</v>
      </c>
      <c r="E27" s="5" t="s">
        <v>252</v>
      </c>
      <c r="F27" s="5" t="s">
        <v>253</v>
      </c>
      <c r="G27" s="5" t="s">
        <v>254</v>
      </c>
      <c r="H27" s="11" t="s">
        <v>255</v>
      </c>
      <c r="I27" s="11" t="s">
        <v>43</v>
      </c>
      <c r="J27" s="11"/>
      <c r="K27" s="17">
        <v>46303.0</v>
      </c>
      <c r="L27" s="11" t="s">
        <v>247</v>
      </c>
      <c r="M27" s="5" t="s">
        <v>31</v>
      </c>
      <c r="N27" s="5" t="s">
        <v>107</v>
      </c>
      <c r="O27" s="5" t="s">
        <v>69</v>
      </c>
    </row>
    <row r="28" ht="23.25" customHeight="1">
      <c r="A28" s="5" t="s">
        <v>256</v>
      </c>
      <c r="B28" s="5" t="s">
        <v>53</v>
      </c>
      <c r="C28" s="5" t="s">
        <v>257</v>
      </c>
      <c r="D28" s="5" t="s">
        <v>96</v>
      </c>
      <c r="E28" s="5" t="s">
        <v>258</v>
      </c>
      <c r="F28" s="5" t="s">
        <v>259</v>
      </c>
      <c r="G28" s="5" t="s">
        <v>260</v>
      </c>
      <c r="H28" s="11" t="s">
        <v>255</v>
      </c>
      <c r="I28" s="11" t="s">
        <v>43</v>
      </c>
      <c r="J28" s="11"/>
      <c r="K28" s="17">
        <v>46303.0</v>
      </c>
      <c r="L28" s="11" t="s">
        <v>247</v>
      </c>
      <c r="M28" s="5" t="s">
        <v>31</v>
      </c>
      <c r="N28" s="5" t="s">
        <v>107</v>
      </c>
      <c r="O28" s="5" t="s">
        <v>69</v>
      </c>
    </row>
    <row r="29" ht="23.25" customHeight="1">
      <c r="A29" s="5" t="s">
        <v>261</v>
      </c>
      <c r="B29" s="5" t="s">
        <v>53</v>
      </c>
      <c r="C29" s="5" t="s">
        <v>262</v>
      </c>
      <c r="D29" s="5" t="s">
        <v>263</v>
      </c>
      <c r="E29" s="5" t="s">
        <v>264</v>
      </c>
      <c r="F29" s="5" t="s">
        <v>265</v>
      </c>
      <c r="G29" s="5" t="s">
        <v>266</v>
      </c>
      <c r="H29" s="11" t="s">
        <v>255</v>
      </c>
      <c r="I29" s="11" t="s">
        <v>43</v>
      </c>
      <c r="J29" s="11"/>
      <c r="K29" s="17">
        <v>46303.0</v>
      </c>
      <c r="L29" s="11" t="s">
        <v>247</v>
      </c>
      <c r="M29" s="5" t="s">
        <v>31</v>
      </c>
      <c r="N29" s="5" t="s">
        <v>107</v>
      </c>
      <c r="O29" s="5" t="s">
        <v>69</v>
      </c>
    </row>
    <row r="30" ht="85.0" customHeight="1">
      <c r="A30" s="5" t="s">
        <v>267</v>
      </c>
      <c r="B30" s="5" t="s">
        <v>53</v>
      </c>
      <c r="C30" s="5" t="s">
        <v>268</v>
      </c>
      <c r="D30" s="5" t="s">
        <v>269</v>
      </c>
      <c r="E30" s="5" t="s">
        <v>270</v>
      </c>
      <c r="F30" s="5" t="s">
        <v>271</v>
      </c>
      <c r="G30" s="5" t="s">
        <v>272</v>
      </c>
      <c r="H30" s="15" t="s">
        <v>273</v>
      </c>
      <c r="I30" s="12" t="s">
        <v>44</v>
      </c>
      <c r="J30" s="18" t="s">
        <v>274</v>
      </c>
      <c r="K30" s="17">
        <v>46304.0</v>
      </c>
      <c r="L30" s="11" t="s">
        <v>247</v>
      </c>
      <c r="M30" s="5" t="s">
        <v>31</v>
      </c>
      <c r="N30" s="5" t="inlineStr">
        <is>
          <t xml:space="preserve">Ronde 2 (9 Okt): Penyebab: daftar waiter hanya menampilkan pegawai yang sudah tercatat HADIR (absen masuk) pada shift berjalan. Kini pegawai yang terjadwal di Duty Roster pada shift berjalan langsung muncul walau belum absen (kecuali cuti/absen); shift lintas tengah malam juga dikenali. Berlaku setelah rilis berikutnya di-deploy (sertakan migrasi 011–012) dan cache Cloudflare di-purge.</t>
        </is>
      </c>
      <c r="O30" s="5" t="inlineStr">
        <is>
          <t xml:space="preserve">Diperbaiki – uji ulang</t>
        </is>
      </c>
    </row>
    <row r="31" ht="44.25" customHeight="1">
      <c r="A31" s="5" t="s">
        <v>276</v>
      </c>
      <c r="B31" s="5" t="s">
        <v>53</v>
      </c>
      <c r="C31" s="5" t="s">
        <v>277</v>
      </c>
      <c r="D31" s="5" t="s">
        <v>278</v>
      </c>
      <c r="E31" s="5" t="s">
        <v>279</v>
      </c>
      <c r="F31" s="5" t="s">
        <v>280</v>
      </c>
      <c r="G31" s="5" t="s">
        <v>281</v>
      </c>
      <c r="H31" s="11" t="s">
        <v>255</v>
      </c>
      <c r="I31" s="11" t="s">
        <v>43</v>
      </c>
      <c r="J31" s="11"/>
      <c r="K31" s="17">
        <v>46303.0</v>
      </c>
      <c r="L31" s="11" t="s">
        <v>247</v>
      </c>
      <c r="M31" s="5" t="s">
        <v>31</v>
      </c>
      <c r="N31" s="5" t="s">
        <v>282</v>
      </c>
      <c r="O31" s="5" t="s">
        <v>67</v>
      </c>
    </row>
    <row r="32" ht="23.25" customHeight="1">
      <c r="A32" s="5" t="s">
        <v>283</v>
      </c>
      <c r="B32" s="5" t="s">
        <v>53</v>
      </c>
      <c r="C32" s="5" t="s">
        <v>284</v>
      </c>
      <c r="D32" s="5" t="s">
        <v>278</v>
      </c>
      <c r="E32" s="5" t="s">
        <v>285</v>
      </c>
      <c r="F32" s="5" t="s">
        <v>286</v>
      </c>
      <c r="G32" s="5" t="s">
        <v>287</v>
      </c>
      <c r="H32" s="11" t="s">
        <v>255</v>
      </c>
      <c r="I32" s="11" t="s">
        <v>43</v>
      </c>
      <c r="J32" s="11"/>
      <c r="K32" s="17">
        <v>46303.0</v>
      </c>
      <c r="L32" s="11" t="s">
        <v>247</v>
      </c>
      <c r="M32" s="5" t="s">
        <v>31</v>
      </c>
      <c r="N32" s="5" t="s">
        <v>107</v>
      </c>
      <c r="O32" s="5" t="s">
        <v>69</v>
      </c>
    </row>
    <row r="33" ht="57.75" customHeight="1">
      <c r="A33" s="5" t="s">
        <v>288</v>
      </c>
      <c r="B33" s="5" t="s">
        <v>53</v>
      </c>
      <c r="C33" s="5" t="s">
        <v>289</v>
      </c>
      <c r="D33" s="5" t="s">
        <v>290</v>
      </c>
      <c r="E33" s="5" t="s">
        <v>291</v>
      </c>
      <c r="F33" s="5" t="s">
        <v>292</v>
      </c>
      <c r="G33" s="5" t="s">
        <v>293</v>
      </c>
      <c r="H33" s="11" t="s">
        <v>255</v>
      </c>
      <c r="I33" s="11" t="s">
        <v>43</v>
      </c>
      <c r="J33" s="11"/>
      <c r="K33" s="17">
        <v>46303.0</v>
      </c>
      <c r="L33" s="11" t="s">
        <v>247</v>
      </c>
      <c r="M33" s="5" t="s">
        <v>31</v>
      </c>
      <c r="N33" s="5" t="s">
        <v>294</v>
      </c>
      <c r="O33" s="5" t="s">
        <v>67</v>
      </c>
    </row>
    <row r="34" ht="40.5" customHeight="1">
      <c r="A34" s="5" t="s">
        <v>295</v>
      </c>
      <c r="B34" s="5" t="s">
        <v>54</v>
      </c>
      <c r="C34" s="5" t="s">
        <v>296</v>
      </c>
      <c r="D34" s="5" t="s">
        <v>96</v>
      </c>
      <c r="E34" s="5" t="s">
        <v>297</v>
      </c>
      <c r="F34" s="5" t="s">
        <v>298</v>
      </c>
      <c r="G34" s="5" t="s">
        <v>299</v>
      </c>
      <c r="H34" s="11" t="s">
        <v>255</v>
      </c>
      <c r="I34" s="11" t="s">
        <v>43</v>
      </c>
      <c r="J34" s="11"/>
      <c r="K34" s="11"/>
      <c r="L34" s="11"/>
      <c r="M34" s="5" t="s">
        <v>31</v>
      </c>
      <c r="N34" s="5" t="s">
        <v>107</v>
      </c>
      <c r="O34" s="5" t="s">
        <v>69</v>
      </c>
    </row>
    <row r="35" ht="38.25" customHeight="1">
      <c r="A35" s="5" t="s">
        <v>300</v>
      </c>
      <c r="B35" s="5" t="s">
        <v>54</v>
      </c>
      <c r="C35" s="5" t="s">
        <v>301</v>
      </c>
      <c r="D35" s="5" t="s">
        <v>302</v>
      </c>
      <c r="E35" s="5" t="s">
        <v>303</v>
      </c>
      <c r="F35" s="5" t="s">
        <v>304</v>
      </c>
      <c r="G35" s="5" t="s">
        <v>305</v>
      </c>
      <c r="H35" s="11" t="s">
        <v>255</v>
      </c>
      <c r="I35" s="11" t="s">
        <v>43</v>
      </c>
      <c r="J35" s="11"/>
      <c r="K35" s="19">
        <v>46304.0</v>
      </c>
      <c r="L35" s="12" t="s">
        <v>247</v>
      </c>
      <c r="M35" s="5" t="s">
        <v>31</v>
      </c>
      <c r="N35" s="5" t="s">
        <v>107</v>
      </c>
      <c r="O35" s="5" t="s">
        <v>69</v>
      </c>
    </row>
    <row r="36" ht="44.25" customHeight="1">
      <c r="A36" s="5" t="s">
        <v>306</v>
      </c>
      <c r="B36" s="5" t="s">
        <v>54</v>
      </c>
      <c r="C36" s="5" t="s">
        <v>307</v>
      </c>
      <c r="D36" s="5" t="s">
        <v>308</v>
      </c>
      <c r="E36" s="5" t="s">
        <v>309</v>
      </c>
      <c r="F36" s="5" t="s">
        <v>310</v>
      </c>
      <c r="G36" s="5" t="s">
        <v>311</v>
      </c>
      <c r="H36" s="20" t="s">
        <v>255</v>
      </c>
      <c r="I36" s="12" t="s">
        <v>43</v>
      </c>
      <c r="J36" s="11"/>
      <c r="K36" s="19">
        <v>46304.0</v>
      </c>
      <c r="L36" s="12" t="s">
        <v>247</v>
      </c>
      <c r="M36" s="5" t="s">
        <v>31</v>
      </c>
      <c r="N36" s="5" t="s">
        <v>312</v>
      </c>
      <c r="O36" s="5" t="s">
        <v>67</v>
      </c>
    </row>
    <row r="37" ht="71.5" customHeight="1">
      <c r="A37" s="5" t="s">
        <v>313</v>
      </c>
      <c r="B37" s="5" t="s">
        <v>54</v>
      </c>
      <c r="C37" s="5" t="s">
        <v>314</v>
      </c>
      <c r="D37" s="5" t="s">
        <v>315</v>
      </c>
      <c r="E37" s="5" t="s">
        <v>316</v>
      </c>
      <c r="G37" s="5" t="s">
        <v>317</v>
      </c>
      <c r="H37" s="12" t="s">
        <v>318</v>
      </c>
      <c r="I37" s="12" t="s">
        <v>44</v>
      </c>
      <c r="J37" s="21" t="s">
        <v>319</v>
      </c>
      <c r="K37" s="19">
        <v>46304.0</v>
      </c>
      <c r="L37" s="12" t="s">
        <v>247</v>
      </c>
      <c r="M37" s="5" t="s">
        <v>31</v>
      </c>
      <c r="N37" s="5" t="inlineStr">
        <is>
          <t xml:space="preserve">Ronde 2 (9 Okt): Penyebab: laporan stok hanya menjumlahkan qty pembelian, sehingga retur &amp; produk rusak tak pernah mengurangi angka. Laporan kini menampilkan Dibeli, Diretur, Rusak, Terpakai, Stok saat ini (50 - 2 = 48) dan nilai pembelian yang benar. Berlaku setelah rilis berikutnya di-deploy (sertakan migrasi 011–012) dan cache Cloudflare di-purge.</t>
        </is>
      </c>
      <c r="O37" s="5" t="inlineStr">
        <is>
          <t xml:space="preserve">Diperbaiki – uji ulang</t>
        </is>
      </c>
    </row>
    <row r="38" ht="58.0" customHeight="1">
      <c r="A38" s="5" t="s">
        <v>320</v>
      </c>
      <c r="B38" s="5" t="s">
        <v>55</v>
      </c>
      <c r="C38" s="5" t="s">
        <v>321</v>
      </c>
      <c r="D38" s="5" t="s">
        <v>322</v>
      </c>
      <c r="E38" s="5" t="s">
        <v>323</v>
      </c>
      <c r="F38" s="5" t="s">
        <v>324</v>
      </c>
      <c r="G38" s="5" t="s">
        <v>325</v>
      </c>
      <c r="H38" s="22" t="s">
        <v>326</v>
      </c>
      <c r="I38" s="11" t="s">
        <v>44</v>
      </c>
      <c r="J38" s="23" t="s">
        <v>327</v>
      </c>
      <c r="K38" s="17">
        <v>46304.0</v>
      </c>
      <c r="L38" s="12" t="s">
        <v>92</v>
      </c>
      <c r="M38" s="5" t="s">
        <v>19</v>
      </c>
      <c r="N38" s="5" t="inlineStr">
        <is>
          <t xml:space="preserve">Ronde 2 (9 Okt): Penyebab sama dengan TC-029: house keeper harus sudah absen masuk. Kini cukup terjadwal pada shift berjalan. Berlaku setelah rilis berikutnya di-deploy (sertakan migrasi 011–012) dan cache Cloudflare di-purge.</t>
        </is>
      </c>
      <c r="O38" s="5" t="inlineStr">
        <is>
          <t xml:space="preserve">Diperbaiki – uji ulang</t>
        </is>
      </c>
    </row>
    <row r="39" ht="44.25" customHeight="1">
      <c r="A39" s="5" t="s">
        <v>329</v>
      </c>
      <c r="B39" s="5" t="s">
        <v>55</v>
      </c>
      <c r="C39" s="5" t="s">
        <v>330</v>
      </c>
      <c r="D39" s="5" t="s">
        <v>96</v>
      </c>
      <c r="E39" s="5" t="s">
        <v>331</v>
      </c>
      <c r="F39" s="5" t="s">
        <v>96</v>
      </c>
      <c r="G39" s="5" t="s">
        <v>332</v>
      </c>
      <c r="H39" s="12" t="s">
        <v>255</v>
      </c>
      <c r="I39" s="12" t="s">
        <v>43</v>
      </c>
      <c r="J39" s="11"/>
      <c r="K39" s="17">
        <v>46304.0</v>
      </c>
      <c r="L39" s="11" t="s">
        <v>247</v>
      </c>
      <c r="M39" s="5" t="s">
        <v>19</v>
      </c>
      <c r="N39" s="5" t="s">
        <v>333</v>
      </c>
      <c r="O39" s="5" t="s">
        <v>67</v>
      </c>
    </row>
    <row r="40" ht="58.0" customHeight="1">
      <c r="A40" s="5" t="s">
        <v>334</v>
      </c>
      <c r="B40" s="5" t="s">
        <v>55</v>
      </c>
      <c r="C40" s="5" t="s">
        <v>335</v>
      </c>
      <c r="D40" s="5" t="s">
        <v>336</v>
      </c>
      <c r="E40" s="5" t="s">
        <v>337</v>
      </c>
      <c r="F40" s="5" t="s">
        <v>338</v>
      </c>
      <c r="G40" s="5" t="s">
        <v>339</v>
      </c>
      <c r="H40" s="22" t="s">
        <v>340</v>
      </c>
      <c r="I40" s="11" t="s">
        <v>44</v>
      </c>
      <c r="J40" s="24" t="s">
        <v>341</v>
      </c>
      <c r="K40" s="17">
        <v>46304.0</v>
      </c>
      <c r="L40" s="12" t="s">
        <v>92</v>
      </c>
      <c r="M40" s="5" t="s">
        <v>19</v>
      </c>
      <c r="N40" s="5" t="inlineStr">
        <is>
          <t xml:space="preserve">Ronde 2 (9 Okt): Task Name diambil dari House Keeping &gt; Checklist dengan Type = Laundry (mis. "Cuci &amp; setrika"); form Item cost kini menampilkan petunjuk + tautan. Berlaku setelah rilis berikutnya di-deploy (sertakan migrasi 011–012) dan cache Cloudflare di-purge.</t>
        </is>
      </c>
      <c r="O40" s="5" t="inlineStr">
        <is>
          <t xml:space="preserve">Diperbaiki – uji ulang</t>
        </is>
      </c>
    </row>
    <row r="41" ht="23.25" customHeight="1">
      <c r="A41" s="5" t="s">
        <v>343</v>
      </c>
      <c r="B41" s="5" t="s">
        <v>56</v>
      </c>
      <c r="C41" s="5" t="s">
        <v>344</v>
      </c>
      <c r="D41" s="5" t="s">
        <v>345</v>
      </c>
      <c r="E41" s="5" t="s">
        <v>346</v>
      </c>
      <c r="F41" s="5" t="s">
        <v>347</v>
      </c>
      <c r="G41" s="5" t="s">
        <v>348</v>
      </c>
      <c r="H41" s="12" t="s">
        <v>255</v>
      </c>
      <c r="I41" s="12" t="s">
        <v>43</v>
      </c>
      <c r="J41" s="11"/>
      <c r="K41" s="17">
        <v>46304.0</v>
      </c>
      <c r="L41" s="12" t="s">
        <v>92</v>
      </c>
      <c r="M41" s="5" t="s">
        <v>19</v>
      </c>
      <c r="N41" s="5" t="s">
        <v>107</v>
      </c>
      <c r="O41" s="5" t="s">
        <v>69</v>
      </c>
    </row>
    <row r="42" ht="85.0" customHeight="1">
      <c r="A42" s="5" t="s">
        <v>349</v>
      </c>
      <c r="B42" s="5" t="s">
        <v>57</v>
      </c>
      <c r="C42" s="5" t="s">
        <v>350</v>
      </c>
      <c r="D42" s="5" t="s">
        <v>96</v>
      </c>
      <c r="E42" s="5" t="s">
        <v>351</v>
      </c>
      <c r="F42" s="5" t="s">
        <v>352</v>
      </c>
      <c r="G42" s="5" t="s">
        <v>353</v>
      </c>
      <c r="H42" s="15" t="s">
        <v>354</v>
      </c>
      <c r="I42" s="12" t="s">
        <v>44</v>
      </c>
      <c r="J42" s="23" t="s">
        <v>355</v>
      </c>
      <c r="K42" s="17">
        <v>46304.0</v>
      </c>
      <c r="L42" s="12" t="s">
        <v>92</v>
      </c>
      <c r="M42" s="5" t="s">
        <v>19</v>
      </c>
      <c r="N42" s="5" t="inlineStr">
        <is>
          <t xml:space="preserve">Ronde 2 (9 Okt): Penyebab di server Linux: tabel parkir dipanggil dengan huruf besar (tbl_parkingSetting/tbl_bookParking) padahal tersimpan huruf kecil; di Linux nama tabel peka huruf sehingga query gagal dan zona tak muncul. Kode diseragamkan + migrasi 011. Berlaku setelah rilis berikutnya di-deploy (sertakan migrasi 011–012) dan cache Cloudflare di-purge.</t>
        </is>
      </c>
      <c r="O42" s="5" t="inlineStr">
        <is>
          <t xml:space="preserve">Diperbaiki – uji ulang</t>
        </is>
      </c>
    </row>
    <row r="43" ht="58.0" customHeight="1">
      <c r="A43" s="5" t="s">
        <v>357</v>
      </c>
      <c r="B43" s="5" t="s">
        <v>57</v>
      </c>
      <c r="C43" s="5" t="s">
        <v>358</v>
      </c>
      <c r="D43" s="5" t="s">
        <v>359</v>
      </c>
      <c r="E43" s="5" t="s">
        <v>360</v>
      </c>
      <c r="F43" s="5" t="s">
        <v>361</v>
      </c>
      <c r="G43" s="5" t="s">
        <v>362</v>
      </c>
      <c r="H43" s="15" t="s">
        <v>354</v>
      </c>
      <c r="I43" s="12" t="s">
        <v>44</v>
      </c>
      <c r="J43" s="23" t="s">
        <v>355</v>
      </c>
      <c r="K43" s="17">
        <v>46304.0</v>
      </c>
      <c r="L43" s="12" t="s">
        <v>92</v>
      </c>
      <c r="M43" s="5" t="s">
        <v>19</v>
      </c>
      <c r="N43" s="5" t="inlineStr">
        <is>
          <t xml:space="preserve">Ronde 2 (9 Okt): Sama dengan TC-041. Catatan alur: zona di Book parking muncul setelah memilih kendaraan, hanya zona yang sudah diberi tarif untuk kendaraan itu di Setting list. Berlaku setelah rilis berikutnya di-deploy (sertakan migrasi 011–012) dan cache Cloudflare di-purge.</t>
        </is>
      </c>
      <c r="O43" s="5" t="inlineStr">
        <is>
          <t xml:space="preserve">Diperbaiki – uji ulang</t>
        </is>
      </c>
    </row>
    <row r="44" ht="23.25" customHeight="1">
      <c r="A44" s="5" t="s">
        <v>363</v>
      </c>
      <c r="B44" s="5" t="s">
        <v>58</v>
      </c>
      <c r="C44" s="5" t="s">
        <v>364</v>
      </c>
      <c r="D44" s="5" t="s">
        <v>96</v>
      </c>
      <c r="E44" s="5" t="s">
        <v>365</v>
      </c>
      <c r="F44" s="5" t="s">
        <v>366</v>
      </c>
      <c r="G44" s="5" t="s">
        <v>367</v>
      </c>
      <c r="H44" s="12" t="s">
        <v>255</v>
      </c>
      <c r="I44" s="12" t="s">
        <v>43</v>
      </c>
      <c r="J44" s="11"/>
      <c r="K44" s="17">
        <v>46304.0</v>
      </c>
      <c r="L44" s="12" t="s">
        <v>92</v>
      </c>
      <c r="M44" s="5" t="s">
        <v>19</v>
      </c>
      <c r="N44" s="5" t="s">
        <v>368</v>
      </c>
      <c r="O44" s="5" t="s">
        <v>69</v>
      </c>
    </row>
    <row r="45" ht="15.0" customHeight="1">
      <c r="A45" s="5" t="s">
        <v>369</v>
      </c>
      <c r="B45" s="5" t="s">
        <v>59</v>
      </c>
      <c r="C45" s="5" t="s">
        <v>370</v>
      </c>
      <c r="D45" s="5" t="s">
        <v>371</v>
      </c>
      <c r="E45" s="5" t="s">
        <v>372</v>
      </c>
      <c r="F45" s="5" t="s">
        <v>373</v>
      </c>
      <c r="G45" s="5" t="s">
        <v>374</v>
      </c>
      <c r="H45" s="12" t="s">
        <v>255</v>
      </c>
      <c r="I45" s="12" t="s">
        <v>43</v>
      </c>
      <c r="J45" s="11"/>
      <c r="K45" s="17">
        <v>46304.0</v>
      </c>
      <c r="L45" s="12" t="s">
        <v>92</v>
      </c>
      <c r="M45" s="5" t="s">
        <v>19</v>
      </c>
      <c r="N45" s="5" t="s">
        <v>107</v>
      </c>
      <c r="O45" s="5" t="s">
        <v>69</v>
      </c>
    </row>
    <row r="46" ht="33.75" customHeight="1">
      <c r="A46" s="5" t="s">
        <v>375</v>
      </c>
      <c r="B46" s="5" t="s">
        <v>59</v>
      </c>
      <c r="C46" s="5" t="s">
        <v>376</v>
      </c>
      <c r="D46" s="5" t="s">
        <v>377</v>
      </c>
      <c r="E46" s="5" t="s">
        <v>378</v>
      </c>
      <c r="F46" s="5" t="s">
        <v>379</v>
      </c>
      <c r="G46" s="5" t="s">
        <v>380</v>
      </c>
      <c r="H46" s="11"/>
      <c r="I46" s="11" t="s">
        <v>46</v>
      </c>
      <c r="J46" s="11"/>
      <c r="K46" s="11"/>
      <c r="L46" s="11"/>
      <c r="M46" s="5" t="s">
        <v>19</v>
      </c>
      <c r="N46" s="5" t="s">
        <v>107</v>
      </c>
      <c r="O46" s="5" t="s">
        <v>69</v>
      </c>
    </row>
    <row r="47" ht="57.75" customHeight="1">
      <c r="A47" s="5" t="s">
        <v>381</v>
      </c>
      <c r="B47" s="5" t="s">
        <v>60</v>
      </c>
      <c r="C47" s="5" t="s">
        <v>382</v>
      </c>
      <c r="D47" s="5" t="s">
        <v>383</v>
      </c>
      <c r="E47" s="5" t="s">
        <v>384</v>
      </c>
      <c r="F47" s="5" t="s">
        <v>385</v>
      </c>
      <c r="G47" s="5" t="s">
        <v>386</v>
      </c>
      <c r="H47" s="12" t="s">
        <v>255</v>
      </c>
      <c r="I47" s="12" t="s">
        <v>43</v>
      </c>
      <c r="J47" s="11"/>
      <c r="K47" s="11"/>
      <c r="L47" s="11"/>
      <c r="M47" s="5" t="s">
        <v>15</v>
      </c>
      <c r="N47" s="5" t="s">
        <v>387</v>
      </c>
      <c r="O47" s="5" t="s">
        <v>67</v>
      </c>
    </row>
    <row r="48" ht="44.25" customHeight="1">
      <c r="A48" s="5" t="s">
        <v>388</v>
      </c>
      <c r="B48" s="5" t="s">
        <v>60</v>
      </c>
      <c r="C48" s="5" t="s">
        <v>389</v>
      </c>
      <c r="D48" s="5" t="s">
        <v>390</v>
      </c>
      <c r="E48" s="5" t="s">
        <v>391</v>
      </c>
      <c r="F48" s="5" t="s">
        <v>392</v>
      </c>
      <c r="G48" s="5" t="s">
        <v>393</v>
      </c>
      <c r="H48" s="12" t="s">
        <v>255</v>
      </c>
      <c r="I48" s="12" t="s">
        <v>43</v>
      </c>
      <c r="J48" s="11"/>
      <c r="K48" s="11"/>
      <c r="L48" s="11"/>
      <c r="M48" s="5" t="s">
        <v>15</v>
      </c>
      <c r="N48" s="5" t="s">
        <v>394</v>
      </c>
      <c r="O48" s="5" t="s">
        <v>67</v>
      </c>
    </row>
    <row r="49" ht="30.75" customHeight="1">
      <c r="A49" s="5" t="s">
        <v>395</v>
      </c>
      <c r="B49" s="5" t="s">
        <v>61</v>
      </c>
      <c r="C49" s="5" t="s">
        <v>396</v>
      </c>
      <c r="D49" s="5" t="s">
        <v>96</v>
      </c>
      <c r="E49" s="5" t="s">
        <v>397</v>
      </c>
      <c r="F49" s="5" t="s">
        <v>398</v>
      </c>
      <c r="G49" s="5" t="s">
        <v>399</v>
      </c>
      <c r="H49" s="12" t="s">
        <v>255</v>
      </c>
      <c r="I49" s="12" t="s">
        <v>43</v>
      </c>
      <c r="J49" s="11"/>
      <c r="K49" s="17">
        <v>46304.0</v>
      </c>
      <c r="L49" s="12" t="s">
        <v>247</v>
      </c>
      <c r="M49" s="5" t="s">
        <v>400</v>
      </c>
      <c r="N49" s="5" t="s">
        <v>401</v>
      </c>
      <c r="O49" s="5" t="s">
        <v>67</v>
      </c>
    </row>
    <row r="50" ht="30.75" customHeight="1">
      <c r="A50" s="5" t="s">
        <v>402</v>
      </c>
      <c r="B50" s="5" t="s">
        <v>62</v>
      </c>
      <c r="C50" s="5" t="s">
        <v>403</v>
      </c>
      <c r="D50" s="5" t="s">
        <v>96</v>
      </c>
      <c r="E50" s="5" t="s">
        <v>404</v>
      </c>
      <c r="F50" s="5" t="s">
        <v>96</v>
      </c>
      <c r="G50" s="5" t="s">
        <v>405</v>
      </c>
      <c r="H50" s="11"/>
      <c r="I50" s="12" t="s">
        <v>43</v>
      </c>
      <c r="J50" s="11"/>
      <c r="K50" s="11"/>
      <c r="L50" s="11"/>
      <c r="M50" s="5" t="s">
        <v>406</v>
      </c>
      <c r="N50" s="5" t="s">
        <v>407</v>
      </c>
      <c r="O50" s="5" t="s">
        <v>67</v>
      </c>
    </row>
    <row r="51" ht="30.75" customHeight="1">
      <c r="A51" s="5" t="s">
        <v>408</v>
      </c>
      <c r="B51" s="5" t="s">
        <v>62</v>
      </c>
      <c r="C51" s="5" t="s">
        <v>409</v>
      </c>
      <c r="D51" s="5" t="s">
        <v>96</v>
      </c>
      <c r="E51" s="5" t="s">
        <v>410</v>
      </c>
      <c r="F51" s="5" t="s">
        <v>96</v>
      </c>
      <c r="G51" s="5" t="s">
        <v>411</v>
      </c>
      <c r="H51" s="11"/>
      <c r="I51" s="12" t="s">
        <v>43</v>
      </c>
      <c r="J51" s="11"/>
      <c r="K51" s="11"/>
      <c r="L51" s="11"/>
      <c r="M51" s="5" t="s">
        <v>406</v>
      </c>
      <c r="N51" s="5" t="s">
        <v>412</v>
      </c>
      <c r="O51" s="5" t="s">
        <v>67</v>
      </c>
    </row>
    <row r="52" ht="14.25" customHeight="1">
      <c r="A52" s="5" t="s">
        <v>413</v>
      </c>
      <c r="B52" s="5" t="s">
        <v>61</v>
      </c>
      <c r="C52" s="5" t="s">
        <v>414</v>
      </c>
      <c r="D52" s="5" t="s">
        <v>415</v>
      </c>
      <c r="E52" s="5" t="s">
        <v>416</v>
      </c>
      <c r="F52" s="5" t="s">
        <v>417</v>
      </c>
      <c r="G52" s="5" t="s">
        <v>418</v>
      </c>
      <c r="H52" s="11" t="s">
        <v>419</v>
      </c>
      <c r="I52" s="11" t="s">
        <v>43</v>
      </c>
      <c r="J52" s="11"/>
      <c r="K52" s="17">
        <v>46303.0</v>
      </c>
      <c r="L52" s="11" t="s">
        <v>247</v>
      </c>
      <c r="M52" s="5" t="s">
        <v>19</v>
      </c>
      <c r="N52" s="5" t="s">
        <v>107</v>
      </c>
      <c r="O52" s="5" t="s">
        <v>69</v>
      </c>
    </row>
    <row r="53" ht="14.25" customHeight="1">
      <c r="A53" s="5" t="s">
        <v>420</v>
      </c>
      <c r="B53" s="5" t="s">
        <v>61</v>
      </c>
      <c r="C53" s="5" t="s">
        <v>421</v>
      </c>
      <c r="D53" s="5" t="s">
        <v>422</v>
      </c>
      <c r="E53" s="5" t="s">
        <v>423</v>
      </c>
      <c r="F53" s="5" t="s">
        <v>424</v>
      </c>
      <c r="G53" s="5" t="s">
        <v>425</v>
      </c>
      <c r="H53" s="11" t="s">
        <v>419</v>
      </c>
      <c r="I53" s="11" t="s">
        <v>43</v>
      </c>
      <c r="J53" s="11"/>
      <c r="K53" s="17">
        <v>46303.0</v>
      </c>
      <c r="L53" s="11" t="s">
        <v>247</v>
      </c>
      <c r="M53" s="5" t="s">
        <v>19</v>
      </c>
      <c r="N53" s="5" t="s">
        <v>107</v>
      </c>
      <c r="O53" s="5" t="s">
        <v>69</v>
      </c>
    </row>
    <row r="54" ht="14.25" customHeight="1">
      <c r="A54" s="5" t="s">
        <v>426</v>
      </c>
      <c r="B54" s="5" t="s">
        <v>61</v>
      </c>
      <c r="C54" s="5" t="s">
        <v>427</v>
      </c>
      <c r="D54" s="5" t="s">
        <v>428</v>
      </c>
      <c r="E54" s="5" t="s">
        <v>429</v>
      </c>
      <c r="F54" s="5" t="s">
        <v>430</v>
      </c>
      <c r="G54" s="5" t="s">
        <v>431</v>
      </c>
      <c r="H54" s="11" t="s">
        <v>419</v>
      </c>
      <c r="I54" s="11" t="s">
        <v>43</v>
      </c>
      <c r="J54" s="11"/>
      <c r="K54" s="17">
        <v>46303.0</v>
      </c>
      <c r="L54" s="11" t="s">
        <v>247</v>
      </c>
      <c r="M54" s="5" t="s">
        <v>432</v>
      </c>
      <c r="N54" s="5" t="s">
        <v>107</v>
      </c>
      <c r="O54" s="5" t="s">
        <v>69</v>
      </c>
    </row>
    <row r="55" ht="14.25" customHeight="1">
      <c r="A55" s="2"/>
      <c r="B55" s="2"/>
      <c r="C55" s="2"/>
      <c r="D55" s="2"/>
      <c r="E55" s="2"/>
      <c r="F55" s="2"/>
      <c r="G55" s="2"/>
      <c r="H55" s="2"/>
      <c r="I55" s="2"/>
      <c r="J55" s="2"/>
      <c r="K55" s="2"/>
      <c r="L55" s="2"/>
    </row>
    <row r="56" ht="14.25" customHeight="1">
      <c r="A56" s="2"/>
      <c r="B56" s="2"/>
      <c r="C56" s="2"/>
      <c r="D56" s="2"/>
      <c r="E56" s="2"/>
      <c r="F56" s="2"/>
      <c r="G56" s="2"/>
      <c r="H56" s="2"/>
      <c r="I56" s="2"/>
      <c r="J56" s="2"/>
      <c r="K56" s="2"/>
      <c r="L56" s="2"/>
    </row>
    <row r="57" ht="14.25" customHeight="1">
      <c r="A57" s="2"/>
      <c r="B57" s="2"/>
      <c r="C57" s="2"/>
      <c r="D57" s="2"/>
      <c r="E57" s="2"/>
      <c r="F57" s="2"/>
      <c r="G57" s="2"/>
      <c r="H57" s="2"/>
      <c r="I57" s="2"/>
      <c r="J57" s="2"/>
      <c r="K57" s="2"/>
      <c r="L57" s="2"/>
    </row>
    <row r="58" ht="14.25" customHeight="1">
      <c r="A58" s="2"/>
      <c r="B58" s="2"/>
      <c r="C58" s="2"/>
      <c r="D58" s="2"/>
      <c r="E58" s="2"/>
      <c r="F58" s="2"/>
      <c r="G58" s="2"/>
      <c r="H58" s="2"/>
      <c r="I58" s="2"/>
      <c r="J58" s="2"/>
      <c r="K58" s="2"/>
      <c r="L58" s="2"/>
    </row>
    <row r="59" ht="14.25" customHeight="1">
      <c r="A59" s="2"/>
      <c r="B59" s="2"/>
      <c r="C59" s="2"/>
      <c r="D59" s="2"/>
      <c r="E59" s="2"/>
      <c r="F59" s="2"/>
      <c r="G59" s="2"/>
      <c r="H59" s="2"/>
      <c r="I59" s="2"/>
      <c r="J59" s="2"/>
      <c r="K59" s="2"/>
      <c r="L59" s="2"/>
    </row>
    <row r="60" ht="14.25" customHeight="1">
      <c r="A60" s="2"/>
      <c r="B60" s="2"/>
      <c r="C60" s="2"/>
      <c r="D60" s="2"/>
      <c r="E60" s="2"/>
      <c r="F60" s="2"/>
      <c r="G60" s="2"/>
      <c r="H60" s="2"/>
      <c r="I60" s="2"/>
      <c r="J60" s="2"/>
      <c r="K60" s="2"/>
      <c r="L60" s="2"/>
    </row>
    <row r="61" ht="14.25" customHeight="1">
      <c r="A61" s="2"/>
      <c r="B61" s="2"/>
      <c r="C61" s="2"/>
      <c r="D61" s="2"/>
      <c r="E61" s="2"/>
      <c r="F61" s="2"/>
      <c r="G61" s="2"/>
      <c r="H61" s="2"/>
      <c r="I61" s="2"/>
      <c r="J61" s="2"/>
      <c r="K61" s="2"/>
      <c r="L61" s="2"/>
    </row>
    <row r="62" ht="14.25" customHeight="1">
      <c r="A62" s="2"/>
      <c r="B62" s="2"/>
      <c r="C62" s="2"/>
      <c r="D62" s="2"/>
      <c r="E62" s="2"/>
      <c r="F62" s="2"/>
      <c r="G62" s="2"/>
      <c r="H62" s="2"/>
      <c r="I62" s="2"/>
      <c r="J62" s="2"/>
      <c r="K62" s="2"/>
      <c r="L62" s="2"/>
    </row>
    <row r="63" ht="14.25" customHeight="1">
      <c r="A63" s="2"/>
      <c r="B63" s="2"/>
      <c r="C63" s="2"/>
      <c r="D63" s="2"/>
      <c r="E63" s="2"/>
      <c r="F63" s="2"/>
      <c r="G63" s="2"/>
      <c r="H63" s="2"/>
      <c r="I63" s="2"/>
      <c r="J63" s="2"/>
      <c r="K63" s="2"/>
      <c r="L63" s="2"/>
    </row>
    <row r="64" ht="14.25" customHeight="1">
      <c r="A64" s="2"/>
      <c r="B64" s="2"/>
      <c r="C64" s="2"/>
      <c r="D64" s="2"/>
      <c r="E64" s="2"/>
      <c r="F64" s="2"/>
      <c r="G64" s="2"/>
      <c r="H64" s="2"/>
      <c r="I64" s="2"/>
      <c r="J64" s="2"/>
      <c r="K64" s="2"/>
      <c r="L64" s="2"/>
    </row>
    <row r="65" ht="14.25" customHeight="1">
      <c r="A65" s="2"/>
      <c r="B65" s="2"/>
      <c r="C65" s="2"/>
      <c r="D65" s="2"/>
      <c r="E65" s="2"/>
      <c r="F65" s="2"/>
      <c r="G65" s="2"/>
      <c r="H65" s="2"/>
      <c r="I65" s="2"/>
      <c r="J65" s="2"/>
      <c r="K65" s="2"/>
      <c r="L65" s="2"/>
    </row>
    <row r="66" ht="14.25" customHeight="1">
      <c r="A66" s="2"/>
      <c r="B66" s="2"/>
      <c r="C66" s="2"/>
      <c r="D66" s="2"/>
      <c r="E66" s="2"/>
      <c r="F66" s="2"/>
      <c r="G66" s="2"/>
      <c r="H66" s="2"/>
      <c r="I66" s="2"/>
      <c r="J66" s="2"/>
      <c r="K66" s="2"/>
      <c r="L66" s="2"/>
    </row>
    <row r="67" ht="14.25" customHeight="1">
      <c r="A67" s="2"/>
      <c r="B67" s="2"/>
      <c r="C67" s="2"/>
      <c r="D67" s="2"/>
      <c r="E67" s="2"/>
      <c r="F67" s="2"/>
      <c r="G67" s="2"/>
      <c r="H67" s="2"/>
      <c r="I67" s="2"/>
      <c r="J67" s="2"/>
      <c r="K67" s="2"/>
      <c r="L67" s="2"/>
    </row>
    <row r="68" ht="14.25" customHeight="1">
      <c r="A68" s="2"/>
      <c r="B68" s="2"/>
      <c r="C68" s="2"/>
      <c r="D68" s="2"/>
      <c r="E68" s="2"/>
      <c r="F68" s="2"/>
      <c r="G68" s="2"/>
      <c r="H68" s="2"/>
      <c r="I68" s="2"/>
      <c r="J68" s="2"/>
      <c r="K68" s="2"/>
      <c r="L68" s="2"/>
    </row>
    <row r="69" ht="14.25" customHeight="1">
      <c r="A69" s="2"/>
      <c r="B69" s="2"/>
      <c r="C69" s="2"/>
      <c r="D69" s="2"/>
      <c r="E69" s="2"/>
      <c r="F69" s="2"/>
      <c r="G69" s="2"/>
      <c r="H69" s="2"/>
      <c r="I69" s="2"/>
      <c r="J69" s="2"/>
      <c r="K69" s="2"/>
      <c r="L69" s="2"/>
    </row>
    <row r="70" ht="14.25" customHeight="1">
      <c r="A70" s="2"/>
      <c r="B70" s="2"/>
      <c r="C70" s="2"/>
      <c r="D70" s="2"/>
      <c r="E70" s="2"/>
      <c r="F70" s="2"/>
      <c r="G70" s="2"/>
      <c r="H70" s="2"/>
      <c r="I70" s="2"/>
      <c r="J70" s="2"/>
      <c r="K70" s="2"/>
      <c r="L70" s="2"/>
    </row>
    <row r="71" ht="14.25" customHeight="1">
      <c r="A71" s="2"/>
      <c r="B71" s="2"/>
      <c r="C71" s="2"/>
      <c r="D71" s="2"/>
      <c r="E71" s="2"/>
      <c r="F71" s="2"/>
      <c r="G71" s="2"/>
      <c r="H71" s="2"/>
      <c r="I71" s="2"/>
      <c r="J71" s="2"/>
      <c r="K71" s="2"/>
      <c r="L71" s="2"/>
    </row>
    <row r="72" ht="14.25" customHeight="1">
      <c r="A72" s="2"/>
      <c r="B72" s="2"/>
      <c r="C72" s="2"/>
      <c r="D72" s="2"/>
      <c r="E72" s="2"/>
      <c r="F72" s="2"/>
      <c r="G72" s="2"/>
      <c r="H72" s="2"/>
      <c r="I72" s="2"/>
      <c r="J72" s="2"/>
      <c r="K72" s="2"/>
      <c r="L72" s="2"/>
    </row>
    <row r="73" ht="14.25" customHeight="1">
      <c r="A73" s="2"/>
      <c r="B73" s="2"/>
      <c r="C73" s="2"/>
      <c r="D73" s="2"/>
      <c r="E73" s="2"/>
      <c r="F73" s="2"/>
      <c r="G73" s="2"/>
      <c r="H73" s="2"/>
      <c r="I73" s="2"/>
      <c r="J73" s="2"/>
      <c r="K73" s="2"/>
      <c r="L73" s="2"/>
    </row>
    <row r="74" ht="14.25" customHeight="1">
      <c r="A74" s="2"/>
      <c r="B74" s="2"/>
      <c r="C74" s="2"/>
      <c r="D74" s="2"/>
      <c r="E74" s="2"/>
      <c r="F74" s="2"/>
      <c r="G74" s="2"/>
      <c r="H74" s="2"/>
      <c r="I74" s="2"/>
      <c r="J74" s="2"/>
      <c r="K74" s="2"/>
      <c r="L74" s="2"/>
    </row>
    <row r="75" ht="14.25" customHeight="1">
      <c r="A75" s="2"/>
      <c r="B75" s="2"/>
      <c r="C75" s="2"/>
      <c r="D75" s="2"/>
      <c r="E75" s="2"/>
      <c r="F75" s="2"/>
      <c r="G75" s="2"/>
      <c r="H75" s="2"/>
      <c r="I75" s="2"/>
      <c r="J75" s="2"/>
      <c r="K75" s="2"/>
      <c r="L75" s="2"/>
    </row>
    <row r="76" ht="14.25" customHeight="1">
      <c r="A76" s="2"/>
      <c r="B76" s="2"/>
      <c r="C76" s="2"/>
      <c r="D76" s="2"/>
      <c r="E76" s="2"/>
      <c r="F76" s="2"/>
      <c r="G76" s="2"/>
      <c r="H76" s="2"/>
      <c r="I76" s="2"/>
      <c r="J76" s="2"/>
      <c r="K76" s="2"/>
      <c r="L76" s="2"/>
    </row>
    <row r="77" ht="14.25" customHeight="1">
      <c r="A77" s="2"/>
      <c r="B77" s="2"/>
      <c r="C77" s="2"/>
      <c r="D77" s="2"/>
      <c r="E77" s="2"/>
      <c r="F77" s="2"/>
      <c r="G77" s="2"/>
      <c r="H77" s="2"/>
      <c r="I77" s="2"/>
      <c r="J77" s="2"/>
      <c r="K77" s="2"/>
      <c r="L77" s="2"/>
    </row>
    <row r="78" ht="14.25" customHeight="1">
      <c r="A78" s="2"/>
      <c r="B78" s="2"/>
      <c r="C78" s="2"/>
      <c r="D78" s="2"/>
      <c r="E78" s="2"/>
      <c r="F78" s="2"/>
      <c r="G78" s="2"/>
      <c r="H78" s="2"/>
      <c r="I78" s="2"/>
      <c r="J78" s="2"/>
      <c r="K78" s="2"/>
      <c r="L78" s="2"/>
    </row>
    <row r="79" ht="14.25" customHeight="1">
      <c r="A79" s="2"/>
      <c r="B79" s="2"/>
      <c r="C79" s="2"/>
      <c r="D79" s="2"/>
      <c r="E79" s="2"/>
      <c r="F79" s="2"/>
      <c r="G79" s="2"/>
      <c r="H79" s="2"/>
      <c r="I79" s="2"/>
      <c r="J79" s="2"/>
      <c r="K79" s="2"/>
      <c r="L79" s="2"/>
    </row>
    <row r="80" ht="14.25" customHeight="1">
      <c r="A80" s="2"/>
      <c r="B80" s="2"/>
      <c r="C80" s="2"/>
      <c r="D80" s="2"/>
      <c r="E80" s="2"/>
      <c r="F80" s="2"/>
      <c r="G80" s="2"/>
      <c r="H80" s="2"/>
      <c r="I80" s="2"/>
      <c r="J80" s="2"/>
      <c r="K80" s="2"/>
      <c r="L80" s="2"/>
    </row>
    <row r="81" ht="14.25" customHeight="1">
      <c r="A81" s="2"/>
      <c r="B81" s="2"/>
      <c r="C81" s="2"/>
      <c r="D81" s="2"/>
      <c r="E81" s="2"/>
      <c r="F81" s="2"/>
      <c r="G81" s="2"/>
      <c r="H81" s="2"/>
      <c r="I81" s="2"/>
      <c r="J81" s="2"/>
      <c r="K81" s="2"/>
      <c r="L81" s="2"/>
    </row>
    <row r="82" ht="14.25" customHeight="1">
      <c r="A82" s="2"/>
      <c r="B82" s="2"/>
      <c r="C82" s="2"/>
      <c r="D82" s="2"/>
      <c r="E82" s="2"/>
      <c r="F82" s="2"/>
      <c r="G82" s="2"/>
      <c r="H82" s="2"/>
      <c r="I82" s="2"/>
      <c r="J82" s="2"/>
      <c r="K82" s="2"/>
      <c r="L82" s="2"/>
    </row>
    <row r="83" ht="14.25" customHeight="1">
      <c r="A83" s="2"/>
      <c r="B83" s="2"/>
      <c r="C83" s="2"/>
      <c r="D83" s="2"/>
      <c r="E83" s="2"/>
      <c r="F83" s="2"/>
      <c r="G83" s="2"/>
      <c r="H83" s="2"/>
      <c r="I83" s="2"/>
      <c r="J83" s="2"/>
      <c r="K83" s="2"/>
      <c r="L83" s="2"/>
    </row>
    <row r="84" ht="14.25" customHeight="1">
      <c r="A84" s="2"/>
      <c r="B84" s="2"/>
      <c r="C84" s="2"/>
      <c r="D84" s="2"/>
      <c r="E84" s="2"/>
      <c r="F84" s="2"/>
      <c r="G84" s="2"/>
      <c r="H84" s="2"/>
      <c r="I84" s="2"/>
      <c r="J84" s="2"/>
      <c r="K84" s="2"/>
      <c r="L84" s="2"/>
    </row>
    <row r="85" ht="14.25" customHeight="1">
      <c r="A85" s="2"/>
      <c r="B85" s="2"/>
      <c r="C85" s="2"/>
      <c r="D85" s="2"/>
      <c r="E85" s="2"/>
      <c r="F85" s="2"/>
      <c r="G85" s="2"/>
      <c r="H85" s="2"/>
      <c r="I85" s="2"/>
      <c r="J85" s="2"/>
      <c r="K85" s="2"/>
      <c r="L85" s="2"/>
    </row>
    <row r="86" ht="14.25" customHeight="1">
      <c r="A86" s="2"/>
      <c r="B86" s="2"/>
      <c r="C86" s="2"/>
      <c r="D86" s="2"/>
      <c r="E86" s="2"/>
      <c r="F86" s="2"/>
      <c r="G86" s="2"/>
      <c r="H86" s="2"/>
      <c r="I86" s="2"/>
      <c r="J86" s="2"/>
      <c r="K86" s="2"/>
      <c r="L86" s="2"/>
    </row>
    <row r="87" ht="14.25" customHeight="1">
      <c r="A87" s="2"/>
      <c r="B87" s="2"/>
      <c r="C87" s="2"/>
      <c r="D87" s="2"/>
      <c r="E87" s="2"/>
      <c r="F87" s="2"/>
      <c r="G87" s="2"/>
      <c r="H87" s="2"/>
      <c r="I87" s="2"/>
      <c r="J87" s="2"/>
      <c r="K87" s="2"/>
      <c r="L87" s="2"/>
    </row>
    <row r="88" ht="14.25" customHeight="1">
      <c r="A88" s="2"/>
      <c r="B88" s="2"/>
      <c r="C88" s="2"/>
      <c r="D88" s="2"/>
      <c r="E88" s="2"/>
      <c r="F88" s="2"/>
      <c r="G88" s="2"/>
      <c r="H88" s="2"/>
      <c r="I88" s="2"/>
      <c r="J88" s="2"/>
      <c r="K88" s="2"/>
      <c r="L88" s="2"/>
    </row>
    <row r="89" ht="14.25" customHeight="1">
      <c r="A89" s="2"/>
      <c r="B89" s="2"/>
      <c r="C89" s="2"/>
      <c r="D89" s="2"/>
      <c r="E89" s="2"/>
      <c r="F89" s="2"/>
      <c r="G89" s="2"/>
      <c r="H89" s="2"/>
      <c r="I89" s="2"/>
      <c r="J89" s="2"/>
      <c r="K89" s="2"/>
      <c r="L89" s="2"/>
    </row>
    <row r="90" ht="14.25" customHeight="1">
      <c r="A90" s="2"/>
      <c r="B90" s="2"/>
      <c r="C90" s="2"/>
      <c r="D90" s="2"/>
      <c r="E90" s="2"/>
      <c r="F90" s="2"/>
      <c r="G90" s="2"/>
      <c r="H90" s="2"/>
      <c r="I90" s="2"/>
      <c r="J90" s="2"/>
      <c r="K90" s="2"/>
      <c r="L90" s="2"/>
    </row>
    <row r="91" ht="14.25" customHeight="1">
      <c r="A91" s="2"/>
      <c r="B91" s="2"/>
      <c r="C91" s="2"/>
      <c r="D91" s="2"/>
      <c r="E91" s="2"/>
      <c r="F91" s="2"/>
      <c r="G91" s="2"/>
      <c r="H91" s="2"/>
      <c r="I91" s="2"/>
      <c r="J91" s="2"/>
      <c r="K91" s="2"/>
      <c r="L91" s="2"/>
    </row>
    <row r="92" ht="14.25" customHeight="1">
      <c r="A92" s="2"/>
      <c r="B92" s="2"/>
      <c r="C92" s="2"/>
      <c r="D92" s="2"/>
      <c r="E92" s="2"/>
      <c r="F92" s="2"/>
      <c r="G92" s="2"/>
      <c r="H92" s="2"/>
      <c r="I92" s="2"/>
      <c r="J92" s="2"/>
      <c r="K92" s="2"/>
      <c r="L92" s="2"/>
    </row>
    <row r="93" ht="14.25" customHeight="1">
      <c r="A93" s="2"/>
      <c r="B93" s="2"/>
      <c r="C93" s="2"/>
      <c r="D93" s="2"/>
      <c r="E93" s="2"/>
      <c r="F93" s="2"/>
      <c r="G93" s="2"/>
      <c r="H93" s="2"/>
      <c r="I93" s="2"/>
      <c r="J93" s="2"/>
      <c r="K93" s="2"/>
      <c r="L93" s="2"/>
    </row>
    <row r="94" ht="14.25" customHeight="1">
      <c r="A94" s="2"/>
      <c r="B94" s="2"/>
      <c r="C94" s="2"/>
      <c r="D94" s="2"/>
      <c r="E94" s="2"/>
      <c r="F94" s="2"/>
      <c r="G94" s="2"/>
      <c r="H94" s="2"/>
      <c r="I94" s="2"/>
      <c r="J94" s="2"/>
      <c r="K94" s="2"/>
      <c r="L94" s="2"/>
    </row>
    <row r="95" ht="14.25" customHeight="1">
      <c r="A95" s="2"/>
      <c r="B95" s="2"/>
      <c r="C95" s="2"/>
      <c r="D95" s="2"/>
      <c r="E95" s="2"/>
      <c r="F95" s="2"/>
      <c r="G95" s="2"/>
      <c r="H95" s="2"/>
      <c r="I95" s="2"/>
      <c r="J95" s="2"/>
      <c r="K95" s="2"/>
      <c r="L95" s="2"/>
    </row>
    <row r="96" ht="14.25" customHeight="1">
      <c r="A96" s="2"/>
      <c r="B96" s="2"/>
      <c r="C96" s="2"/>
      <c r="D96" s="2"/>
      <c r="E96" s="2"/>
      <c r="F96" s="2"/>
      <c r="G96" s="2"/>
      <c r="H96" s="2"/>
      <c r="I96" s="2"/>
      <c r="J96" s="2"/>
      <c r="K96" s="2"/>
      <c r="L96" s="2"/>
    </row>
    <row r="97" ht="14.25" customHeight="1">
      <c r="A97" s="2"/>
      <c r="B97" s="2"/>
      <c r="C97" s="2"/>
      <c r="D97" s="2"/>
      <c r="E97" s="2"/>
      <c r="F97" s="2"/>
      <c r="G97" s="2"/>
      <c r="H97" s="2"/>
      <c r="I97" s="2"/>
      <c r="J97" s="2"/>
      <c r="K97" s="2"/>
      <c r="L97" s="2"/>
    </row>
    <row r="98" ht="14.25" customHeight="1">
      <c r="A98" s="2"/>
      <c r="B98" s="2"/>
      <c r="C98" s="2"/>
      <c r="D98" s="2"/>
      <c r="E98" s="2"/>
      <c r="F98" s="2"/>
      <c r="G98" s="2"/>
      <c r="H98" s="2"/>
      <c r="I98" s="2"/>
      <c r="J98" s="2"/>
      <c r="K98" s="2"/>
      <c r="L98" s="2"/>
    </row>
    <row r="99" ht="14.25" customHeight="1">
      <c r="A99" s="2"/>
      <c r="B99" s="2"/>
      <c r="C99" s="2"/>
      <c r="D99" s="2"/>
      <c r="E99" s="2"/>
      <c r="F99" s="2"/>
      <c r="G99" s="2"/>
      <c r="H99" s="2"/>
      <c r="I99" s="2"/>
      <c r="J99" s="2"/>
      <c r="K99" s="2"/>
      <c r="L99" s="2"/>
    </row>
    <row r="100" ht="14.25" customHeight="1">
      <c r="A100" s="2"/>
      <c r="B100" s="2"/>
      <c r="C100" s="2"/>
      <c r="D100" s="2"/>
      <c r="E100" s="2"/>
      <c r="F100" s="2"/>
      <c r="G100" s="2"/>
      <c r="H100" s="2"/>
      <c r="I100" s="2"/>
      <c r="J100" s="2"/>
      <c r="K100" s="2"/>
      <c r="L100" s="2"/>
    </row>
    <row r="101" ht="14.25" customHeight="1">
      <c r="A101" s="2"/>
      <c r="B101" s="2"/>
      <c r="C101" s="2"/>
      <c r="D101" s="2"/>
      <c r="E101" s="2"/>
      <c r="F101" s="2"/>
      <c r="G101" s="2"/>
      <c r="H101" s="2"/>
      <c r="I101" s="2"/>
      <c r="J101" s="2"/>
      <c r="K101" s="2"/>
      <c r="L101" s="2"/>
    </row>
    <row r="102" ht="14.25" customHeight="1">
      <c r="A102" s="2"/>
      <c r="B102" s="2"/>
      <c r="C102" s="2"/>
      <c r="D102" s="2"/>
      <c r="E102" s="2"/>
      <c r="F102" s="2"/>
      <c r="G102" s="2"/>
      <c r="H102" s="2"/>
      <c r="I102" s="2"/>
      <c r="J102" s="2"/>
      <c r="K102" s="2"/>
      <c r="L102" s="2"/>
    </row>
    <row r="103" ht="14.25" customHeight="1">
      <c r="A103" s="2"/>
      <c r="B103" s="2"/>
      <c r="C103" s="2"/>
      <c r="D103" s="2"/>
      <c r="E103" s="2"/>
      <c r="F103" s="2"/>
      <c r="G103" s="2"/>
      <c r="H103" s="2"/>
      <c r="I103" s="2"/>
      <c r="J103" s="2"/>
      <c r="K103" s="2"/>
      <c r="L103" s="2"/>
    </row>
    <row r="104" ht="14.25" customHeight="1">
      <c r="A104" s="2"/>
      <c r="B104" s="2"/>
      <c r="C104" s="2"/>
      <c r="D104" s="2"/>
      <c r="E104" s="2"/>
      <c r="F104" s="2"/>
      <c r="G104" s="2"/>
      <c r="H104" s="2"/>
      <c r="I104" s="2"/>
      <c r="J104" s="2"/>
      <c r="K104" s="2"/>
      <c r="L104" s="2"/>
    </row>
    <row r="105" ht="14.25" customHeight="1">
      <c r="A105" s="2"/>
      <c r="B105" s="2"/>
      <c r="C105" s="2"/>
      <c r="D105" s="2"/>
      <c r="E105" s="2"/>
      <c r="F105" s="2"/>
      <c r="G105" s="2"/>
      <c r="H105" s="2"/>
      <c r="I105" s="2"/>
      <c r="J105" s="2"/>
      <c r="K105" s="2"/>
      <c r="L105" s="2"/>
    </row>
    <row r="106" ht="14.25" customHeight="1">
      <c r="A106" s="2"/>
      <c r="B106" s="2"/>
      <c r="C106" s="2"/>
      <c r="D106" s="2"/>
      <c r="E106" s="2"/>
      <c r="F106" s="2"/>
      <c r="G106" s="2"/>
      <c r="H106" s="2"/>
      <c r="I106" s="2"/>
      <c r="J106" s="2"/>
      <c r="K106" s="2"/>
      <c r="L106" s="2"/>
    </row>
    <row r="107" ht="14.25" customHeight="1">
      <c r="A107" s="2"/>
      <c r="B107" s="2"/>
      <c r="C107" s="2"/>
      <c r="D107" s="2"/>
      <c r="E107" s="2"/>
      <c r="F107" s="2"/>
      <c r="G107" s="2"/>
      <c r="H107" s="2"/>
      <c r="I107" s="2"/>
      <c r="J107" s="2"/>
      <c r="K107" s="2"/>
      <c r="L107" s="2"/>
    </row>
    <row r="108" ht="14.25" customHeight="1">
      <c r="A108" s="2"/>
      <c r="B108" s="2"/>
      <c r="C108" s="2"/>
      <c r="D108" s="2"/>
      <c r="E108" s="2"/>
      <c r="F108" s="2"/>
      <c r="G108" s="2"/>
      <c r="H108" s="2"/>
      <c r="I108" s="2"/>
      <c r="J108" s="2"/>
      <c r="K108" s="2"/>
      <c r="L108" s="2"/>
    </row>
    <row r="109" ht="14.25" customHeight="1">
      <c r="A109" s="2"/>
      <c r="B109" s="2"/>
      <c r="C109" s="2"/>
      <c r="D109" s="2"/>
      <c r="E109" s="2"/>
      <c r="F109" s="2"/>
      <c r="G109" s="2"/>
      <c r="H109" s="2"/>
      <c r="I109" s="2"/>
      <c r="J109" s="2"/>
      <c r="K109" s="2"/>
      <c r="L109" s="2"/>
    </row>
    <row r="110" ht="14.25" customHeight="1">
      <c r="A110" s="2"/>
      <c r="B110" s="2"/>
      <c r="C110" s="2"/>
      <c r="D110" s="2"/>
      <c r="E110" s="2"/>
      <c r="F110" s="2"/>
      <c r="G110" s="2"/>
      <c r="H110" s="2"/>
      <c r="I110" s="2"/>
      <c r="J110" s="2"/>
      <c r="K110" s="2"/>
      <c r="L110" s="2"/>
    </row>
    <row r="111" ht="14.25" customHeight="1">
      <c r="A111" s="2"/>
      <c r="B111" s="2"/>
      <c r="C111" s="2"/>
      <c r="D111" s="2"/>
      <c r="E111" s="2"/>
      <c r="F111" s="2"/>
      <c r="G111" s="2"/>
      <c r="H111" s="2"/>
      <c r="I111" s="2"/>
      <c r="J111" s="2"/>
      <c r="K111" s="2"/>
      <c r="L111" s="2"/>
    </row>
    <row r="112" ht="14.25" customHeight="1">
      <c r="A112" s="2"/>
      <c r="B112" s="2"/>
      <c r="C112" s="2"/>
      <c r="D112" s="2"/>
      <c r="E112" s="2"/>
      <c r="F112" s="2"/>
      <c r="G112" s="2"/>
      <c r="H112" s="2"/>
      <c r="I112" s="2"/>
      <c r="J112" s="2"/>
      <c r="K112" s="2"/>
      <c r="L112" s="2"/>
    </row>
    <row r="113" ht="14.25" customHeight="1">
      <c r="A113" s="2"/>
      <c r="B113" s="2"/>
      <c r="C113" s="2"/>
      <c r="D113" s="2"/>
      <c r="E113" s="2"/>
      <c r="F113" s="2"/>
      <c r="G113" s="2"/>
      <c r="H113" s="2"/>
      <c r="I113" s="2"/>
      <c r="J113" s="2"/>
      <c r="K113" s="2"/>
      <c r="L113" s="2"/>
    </row>
    <row r="114" ht="14.25" customHeight="1">
      <c r="A114" s="2"/>
      <c r="B114" s="2"/>
      <c r="C114" s="2"/>
      <c r="D114" s="2"/>
      <c r="E114" s="2"/>
      <c r="F114" s="2"/>
      <c r="G114" s="2"/>
      <c r="H114" s="2"/>
      <c r="I114" s="2"/>
      <c r="J114" s="2"/>
      <c r="K114" s="2"/>
      <c r="L114" s="2"/>
    </row>
    <row r="115" ht="14.25" customHeight="1">
      <c r="A115" s="2"/>
      <c r="B115" s="2"/>
      <c r="C115" s="2"/>
      <c r="D115" s="2"/>
      <c r="E115" s="2"/>
      <c r="F115" s="2"/>
      <c r="G115" s="2"/>
      <c r="H115" s="2"/>
      <c r="I115" s="2"/>
      <c r="J115" s="2"/>
      <c r="K115" s="2"/>
      <c r="L115" s="2"/>
    </row>
    <row r="116" ht="14.25" customHeight="1">
      <c r="A116" s="2"/>
      <c r="B116" s="2"/>
      <c r="C116" s="2"/>
      <c r="D116" s="2"/>
      <c r="E116" s="2"/>
      <c r="F116" s="2"/>
      <c r="G116" s="2"/>
      <c r="H116" s="2"/>
      <c r="I116" s="2"/>
      <c r="J116" s="2"/>
      <c r="K116" s="2"/>
      <c r="L116" s="2"/>
    </row>
    <row r="117" ht="14.25" customHeight="1">
      <c r="A117" s="2"/>
      <c r="B117" s="2"/>
      <c r="C117" s="2"/>
      <c r="D117" s="2"/>
      <c r="E117" s="2"/>
      <c r="F117" s="2"/>
      <c r="G117" s="2"/>
      <c r="H117" s="2"/>
      <c r="I117" s="2"/>
      <c r="J117" s="2"/>
      <c r="K117" s="2"/>
      <c r="L117" s="2"/>
    </row>
    <row r="118" ht="14.25" customHeight="1">
      <c r="A118" s="2"/>
      <c r="B118" s="2"/>
      <c r="C118" s="2"/>
      <c r="D118" s="2"/>
      <c r="E118" s="2"/>
      <c r="F118" s="2"/>
      <c r="G118" s="2"/>
      <c r="H118" s="2"/>
      <c r="I118" s="2"/>
      <c r="J118" s="2"/>
      <c r="K118" s="2"/>
      <c r="L118" s="2"/>
    </row>
    <row r="119" ht="14.25" customHeight="1">
      <c r="A119" s="2"/>
      <c r="B119" s="2"/>
      <c r="C119" s="2"/>
      <c r="D119" s="2"/>
      <c r="E119" s="2"/>
      <c r="F119" s="2"/>
      <c r="G119" s="2"/>
      <c r="H119" s="2"/>
      <c r="I119" s="2"/>
      <c r="J119" s="2"/>
      <c r="K119" s="2"/>
      <c r="L119" s="2"/>
    </row>
    <row r="120" ht="14.25" customHeight="1">
      <c r="A120" s="2"/>
      <c r="B120" s="2"/>
      <c r="C120" s="2"/>
      <c r="D120" s="2"/>
      <c r="E120" s="2"/>
      <c r="F120" s="2"/>
      <c r="G120" s="2"/>
      <c r="H120" s="2"/>
      <c r="I120" s="2"/>
      <c r="J120" s="2"/>
      <c r="K120" s="2"/>
      <c r="L120" s="2"/>
    </row>
    <row r="121" ht="14.25" customHeight="1">
      <c r="A121" s="2"/>
      <c r="B121" s="2"/>
      <c r="C121" s="2"/>
      <c r="D121" s="2"/>
      <c r="E121" s="2"/>
      <c r="F121" s="2"/>
      <c r="G121" s="2"/>
      <c r="H121" s="2"/>
      <c r="I121" s="2"/>
      <c r="J121" s="2"/>
      <c r="K121" s="2"/>
      <c r="L121" s="2"/>
    </row>
    <row r="122" ht="14.25" customHeight="1">
      <c r="A122" s="2"/>
      <c r="B122" s="2"/>
      <c r="C122" s="2"/>
      <c r="D122" s="2"/>
      <c r="E122" s="2"/>
      <c r="F122" s="2"/>
      <c r="G122" s="2"/>
      <c r="H122" s="2"/>
      <c r="I122" s="2"/>
      <c r="J122" s="2"/>
      <c r="K122" s="2"/>
      <c r="L122" s="2"/>
    </row>
    <row r="123" ht="14.25" customHeight="1">
      <c r="A123" s="2"/>
      <c r="B123" s="2"/>
      <c r="C123" s="2"/>
      <c r="D123" s="2"/>
      <c r="E123" s="2"/>
      <c r="F123" s="2"/>
      <c r="G123" s="2"/>
      <c r="H123" s="2"/>
      <c r="I123" s="2"/>
      <c r="J123" s="2"/>
      <c r="K123" s="2"/>
      <c r="L123" s="2"/>
    </row>
    <row r="124" ht="14.25" customHeight="1">
      <c r="A124" s="2"/>
      <c r="B124" s="2"/>
      <c r="C124" s="2"/>
      <c r="D124" s="2"/>
      <c r="E124" s="2"/>
      <c r="F124" s="2"/>
      <c r="G124" s="2"/>
      <c r="H124" s="2"/>
      <c r="I124" s="2"/>
      <c r="J124" s="2"/>
      <c r="K124" s="2"/>
      <c r="L124" s="2"/>
    </row>
    <row r="125" ht="14.25" customHeight="1">
      <c r="A125" s="2"/>
      <c r="B125" s="2"/>
      <c r="C125" s="2"/>
      <c r="D125" s="2"/>
      <c r="E125" s="2"/>
      <c r="F125" s="2"/>
      <c r="G125" s="2"/>
      <c r="H125" s="2"/>
      <c r="I125" s="2"/>
      <c r="J125" s="2"/>
      <c r="K125" s="2"/>
      <c r="L125" s="2"/>
    </row>
    <row r="126" ht="14.25" customHeight="1">
      <c r="A126" s="2"/>
      <c r="B126" s="2"/>
      <c r="C126" s="2"/>
      <c r="D126" s="2"/>
      <c r="E126" s="2"/>
      <c r="F126" s="2"/>
      <c r="G126" s="2"/>
      <c r="H126" s="2"/>
      <c r="I126" s="2"/>
      <c r="J126" s="2"/>
      <c r="K126" s="2"/>
      <c r="L126" s="2"/>
    </row>
    <row r="127" ht="14.25" customHeight="1">
      <c r="A127" s="2"/>
      <c r="B127" s="2"/>
      <c r="C127" s="2"/>
      <c r="D127" s="2"/>
      <c r="E127" s="2"/>
      <c r="F127" s="2"/>
      <c r="G127" s="2"/>
      <c r="H127" s="2"/>
      <c r="I127" s="2"/>
      <c r="J127" s="2"/>
      <c r="K127" s="2"/>
      <c r="L127" s="2"/>
    </row>
    <row r="128" ht="14.25" customHeight="1">
      <c r="A128" s="2"/>
      <c r="B128" s="2"/>
      <c r="C128" s="2"/>
      <c r="D128" s="2"/>
      <c r="E128" s="2"/>
      <c r="F128" s="2"/>
      <c r="G128" s="2"/>
      <c r="H128" s="2"/>
      <c r="I128" s="2"/>
      <c r="J128" s="2"/>
      <c r="K128" s="2"/>
      <c r="L128" s="2"/>
    </row>
    <row r="129" ht="14.25" customHeight="1">
      <c r="A129" s="2"/>
      <c r="B129" s="2"/>
      <c r="C129" s="2"/>
      <c r="D129" s="2"/>
      <c r="E129" s="2"/>
      <c r="F129" s="2"/>
      <c r="G129" s="2"/>
      <c r="H129" s="2"/>
      <c r="I129" s="2"/>
      <c r="J129" s="2"/>
      <c r="K129" s="2"/>
      <c r="L129" s="2"/>
    </row>
    <row r="130" ht="14.25" customHeight="1">
      <c r="A130" s="2"/>
      <c r="B130" s="2"/>
      <c r="C130" s="2"/>
      <c r="D130" s="2"/>
      <c r="E130" s="2"/>
      <c r="F130" s="2"/>
      <c r="G130" s="2"/>
      <c r="H130" s="2"/>
      <c r="I130" s="2"/>
      <c r="J130" s="2"/>
      <c r="K130" s="2"/>
      <c r="L130" s="2"/>
    </row>
    <row r="131" ht="14.25" customHeight="1">
      <c r="A131" s="2"/>
      <c r="B131" s="2"/>
      <c r="C131" s="2"/>
      <c r="D131" s="2"/>
      <c r="E131" s="2"/>
      <c r="F131" s="2"/>
      <c r="G131" s="2"/>
      <c r="H131" s="2"/>
      <c r="I131" s="2"/>
      <c r="J131" s="2"/>
      <c r="K131" s="2"/>
      <c r="L131" s="2"/>
    </row>
    <row r="132" ht="14.25" customHeight="1">
      <c r="A132" s="2"/>
      <c r="B132" s="2"/>
      <c r="C132" s="2"/>
      <c r="D132" s="2"/>
      <c r="E132" s="2"/>
      <c r="F132" s="2"/>
      <c r="G132" s="2"/>
      <c r="H132" s="2"/>
      <c r="I132" s="2"/>
      <c r="J132" s="2"/>
      <c r="K132" s="2"/>
      <c r="L132" s="2"/>
    </row>
    <row r="133" ht="14.25" customHeight="1">
      <c r="A133" s="2"/>
      <c r="B133" s="2"/>
      <c r="C133" s="2"/>
      <c r="D133" s="2"/>
      <c r="E133" s="2"/>
      <c r="F133" s="2"/>
      <c r="G133" s="2"/>
      <c r="H133" s="2"/>
      <c r="I133" s="2"/>
      <c r="J133" s="2"/>
      <c r="K133" s="2"/>
      <c r="L133" s="2"/>
    </row>
    <row r="134" ht="14.25" customHeight="1">
      <c r="A134" s="2"/>
      <c r="B134" s="2"/>
      <c r="C134" s="2"/>
      <c r="D134" s="2"/>
      <c r="E134" s="2"/>
      <c r="F134" s="2"/>
      <c r="G134" s="2"/>
      <c r="H134" s="2"/>
      <c r="I134" s="2"/>
      <c r="J134" s="2"/>
      <c r="K134" s="2"/>
      <c r="L134" s="2"/>
    </row>
    <row r="135" ht="14.25" customHeight="1">
      <c r="A135" s="2"/>
      <c r="B135" s="2"/>
      <c r="C135" s="2"/>
      <c r="D135" s="2"/>
      <c r="E135" s="2"/>
      <c r="F135" s="2"/>
      <c r="G135" s="2"/>
      <c r="H135" s="2"/>
      <c r="I135" s="2"/>
      <c r="J135" s="2"/>
      <c r="K135" s="2"/>
      <c r="L135" s="2"/>
    </row>
    <row r="136" ht="14.25" customHeight="1">
      <c r="A136" s="2"/>
      <c r="B136" s="2"/>
      <c r="C136" s="2"/>
      <c r="D136" s="2"/>
      <c r="E136" s="2"/>
      <c r="F136" s="2"/>
      <c r="G136" s="2"/>
      <c r="H136" s="2"/>
      <c r="I136" s="2"/>
      <c r="J136" s="2"/>
      <c r="K136" s="2"/>
      <c r="L136" s="2"/>
    </row>
    <row r="137" ht="14.25" customHeight="1">
      <c r="A137" s="2"/>
      <c r="B137" s="2"/>
      <c r="C137" s="2"/>
      <c r="D137" s="2"/>
      <c r="E137" s="2"/>
      <c r="F137" s="2"/>
      <c r="G137" s="2"/>
      <c r="H137" s="2"/>
      <c r="I137" s="2"/>
      <c r="J137" s="2"/>
      <c r="K137" s="2"/>
      <c r="L137" s="2"/>
    </row>
    <row r="138" ht="14.25" customHeight="1">
      <c r="A138" s="2"/>
      <c r="B138" s="2"/>
      <c r="C138" s="2"/>
      <c r="D138" s="2"/>
      <c r="E138" s="2"/>
      <c r="F138" s="2"/>
      <c r="G138" s="2"/>
      <c r="H138" s="2"/>
      <c r="I138" s="2"/>
      <c r="J138" s="2"/>
      <c r="K138" s="2"/>
      <c r="L138" s="2"/>
    </row>
    <row r="139" ht="14.25" customHeight="1">
      <c r="A139" s="2"/>
      <c r="B139" s="2"/>
      <c r="C139" s="2"/>
      <c r="D139" s="2"/>
      <c r="E139" s="2"/>
      <c r="F139" s="2"/>
      <c r="G139" s="2"/>
      <c r="H139" s="2"/>
      <c r="I139" s="2"/>
      <c r="J139" s="2"/>
      <c r="K139" s="2"/>
      <c r="L139" s="2"/>
    </row>
    <row r="140" ht="14.25" customHeight="1">
      <c r="A140" s="2"/>
      <c r="B140" s="2"/>
      <c r="C140" s="2"/>
      <c r="D140" s="2"/>
      <c r="E140" s="2"/>
      <c r="F140" s="2"/>
      <c r="G140" s="2"/>
      <c r="H140" s="2"/>
      <c r="I140" s="2"/>
      <c r="J140" s="2"/>
      <c r="K140" s="2"/>
      <c r="L140" s="2"/>
    </row>
    <row r="141" ht="14.25" customHeight="1">
      <c r="A141" s="2"/>
      <c r="B141" s="2"/>
      <c r="C141" s="2"/>
      <c r="D141" s="2"/>
      <c r="E141" s="2"/>
      <c r="F141" s="2"/>
      <c r="G141" s="2"/>
      <c r="H141" s="2"/>
      <c r="I141" s="2"/>
      <c r="J141" s="2"/>
      <c r="K141" s="2"/>
      <c r="L141" s="2"/>
    </row>
    <row r="142" ht="14.25" customHeight="1">
      <c r="A142" s="2"/>
      <c r="B142" s="2"/>
      <c r="C142" s="2"/>
      <c r="D142" s="2"/>
      <c r="E142" s="2"/>
      <c r="F142" s="2"/>
      <c r="G142" s="2"/>
      <c r="H142" s="2"/>
      <c r="I142" s="2"/>
      <c r="J142" s="2"/>
      <c r="K142" s="2"/>
      <c r="L142" s="2"/>
    </row>
    <row r="143" ht="14.25" customHeight="1">
      <c r="A143" s="2"/>
      <c r="B143" s="2"/>
      <c r="C143" s="2"/>
      <c r="D143" s="2"/>
      <c r="E143" s="2"/>
      <c r="F143" s="2"/>
      <c r="G143" s="2"/>
      <c r="H143" s="2"/>
      <c r="I143" s="2"/>
      <c r="J143" s="2"/>
      <c r="K143" s="2"/>
      <c r="L143" s="2"/>
    </row>
    <row r="144" ht="14.25" customHeight="1">
      <c r="A144" s="2"/>
      <c r="B144" s="2"/>
      <c r="C144" s="2"/>
      <c r="D144" s="2"/>
      <c r="E144" s="2"/>
      <c r="F144" s="2"/>
      <c r="G144" s="2"/>
      <c r="H144" s="2"/>
      <c r="I144" s="2"/>
      <c r="J144" s="2"/>
      <c r="K144" s="2"/>
      <c r="L144" s="2"/>
    </row>
    <row r="145" ht="14.25" customHeight="1">
      <c r="A145" s="2"/>
      <c r="B145" s="2"/>
      <c r="C145" s="2"/>
      <c r="D145" s="2"/>
      <c r="E145" s="2"/>
      <c r="F145" s="2"/>
      <c r="G145" s="2"/>
      <c r="H145" s="2"/>
      <c r="I145" s="2"/>
      <c r="J145" s="2"/>
      <c r="K145" s="2"/>
      <c r="L145" s="2"/>
    </row>
    <row r="146" ht="14.25" customHeight="1">
      <c r="A146" s="2"/>
      <c r="B146" s="2"/>
      <c r="C146" s="2"/>
      <c r="D146" s="2"/>
      <c r="E146" s="2"/>
      <c r="F146" s="2"/>
      <c r="G146" s="2"/>
      <c r="H146" s="2"/>
      <c r="I146" s="2"/>
      <c r="J146" s="2"/>
      <c r="K146" s="2"/>
      <c r="L146" s="2"/>
    </row>
    <row r="147" ht="14.25" customHeight="1">
      <c r="A147" s="2"/>
      <c r="B147" s="2"/>
      <c r="C147" s="2"/>
      <c r="D147" s="2"/>
      <c r="E147" s="2"/>
      <c r="F147" s="2"/>
      <c r="G147" s="2"/>
      <c r="H147" s="2"/>
      <c r="I147" s="2"/>
      <c r="J147" s="2"/>
      <c r="K147" s="2"/>
      <c r="L147" s="2"/>
    </row>
    <row r="148" ht="14.25" customHeight="1">
      <c r="A148" s="2"/>
      <c r="B148" s="2"/>
      <c r="C148" s="2"/>
      <c r="D148" s="2"/>
      <c r="E148" s="2"/>
      <c r="F148" s="2"/>
      <c r="G148" s="2"/>
      <c r="H148" s="2"/>
      <c r="I148" s="2"/>
      <c r="J148" s="2"/>
      <c r="K148" s="2"/>
      <c r="L148" s="2"/>
    </row>
    <row r="149" ht="14.25" customHeight="1">
      <c r="A149" s="2"/>
      <c r="B149" s="2"/>
      <c r="C149" s="2"/>
      <c r="D149" s="2"/>
      <c r="E149" s="2"/>
      <c r="F149" s="2"/>
      <c r="G149" s="2"/>
      <c r="H149" s="2"/>
      <c r="I149" s="2"/>
      <c r="J149" s="2"/>
      <c r="K149" s="2"/>
      <c r="L149" s="2"/>
    </row>
    <row r="150" ht="14.25" customHeight="1">
      <c r="A150" s="2"/>
      <c r="B150" s="2"/>
      <c r="C150" s="2"/>
      <c r="D150" s="2"/>
      <c r="E150" s="2"/>
      <c r="F150" s="2"/>
      <c r="G150" s="2"/>
      <c r="H150" s="2"/>
      <c r="I150" s="2"/>
      <c r="J150" s="2"/>
      <c r="K150" s="2"/>
      <c r="L150" s="2"/>
    </row>
    <row r="151" ht="14.25" customHeight="1">
      <c r="A151" s="2"/>
      <c r="B151" s="2"/>
      <c r="C151" s="2"/>
      <c r="D151" s="2"/>
      <c r="E151" s="2"/>
      <c r="F151" s="2"/>
      <c r="G151" s="2"/>
      <c r="H151" s="2"/>
      <c r="I151" s="2"/>
      <c r="J151" s="2"/>
      <c r="K151" s="2"/>
      <c r="L151" s="2"/>
    </row>
    <row r="152" ht="14.25" customHeight="1">
      <c r="A152" s="2"/>
      <c r="B152" s="2"/>
      <c r="C152" s="2"/>
      <c r="D152" s="2"/>
      <c r="E152" s="2"/>
      <c r="F152" s="2"/>
      <c r="G152" s="2"/>
      <c r="H152" s="2"/>
      <c r="I152" s="2"/>
      <c r="J152" s="2"/>
      <c r="K152" s="2"/>
      <c r="L152" s="2"/>
    </row>
    <row r="153" ht="14.25" customHeight="1">
      <c r="A153" s="2"/>
      <c r="B153" s="2"/>
      <c r="C153" s="2"/>
      <c r="D153" s="2"/>
      <c r="E153" s="2"/>
      <c r="F153" s="2"/>
      <c r="G153" s="2"/>
      <c r="H153" s="2"/>
      <c r="I153" s="2"/>
      <c r="J153" s="2"/>
      <c r="K153" s="2"/>
      <c r="L153" s="2"/>
    </row>
    <row r="154" ht="14.25" customHeight="1">
      <c r="A154" s="2"/>
      <c r="B154" s="2"/>
      <c r="C154" s="2"/>
      <c r="D154" s="2"/>
      <c r="E154" s="2"/>
      <c r="F154" s="2"/>
      <c r="G154" s="2"/>
      <c r="H154" s="2"/>
      <c r="I154" s="2"/>
      <c r="J154" s="2"/>
      <c r="K154" s="2"/>
      <c r="L154" s="2"/>
    </row>
    <row r="155" ht="14.25" customHeight="1">
      <c r="A155" s="2"/>
      <c r="B155" s="2"/>
      <c r="C155" s="2"/>
      <c r="D155" s="2"/>
      <c r="E155" s="2"/>
      <c r="F155" s="2"/>
      <c r="G155" s="2"/>
      <c r="H155" s="2"/>
      <c r="I155" s="2"/>
      <c r="J155" s="2"/>
      <c r="K155" s="2"/>
      <c r="L155" s="2"/>
    </row>
    <row r="156" ht="14.25" customHeight="1">
      <c r="A156" s="2"/>
      <c r="B156" s="2"/>
      <c r="C156" s="2"/>
      <c r="D156" s="2"/>
      <c r="E156" s="2"/>
      <c r="F156" s="2"/>
      <c r="G156" s="2"/>
      <c r="H156" s="2"/>
      <c r="I156" s="2"/>
      <c r="J156" s="2"/>
      <c r="K156" s="2"/>
      <c r="L156" s="2"/>
    </row>
    <row r="157" ht="14.25" customHeight="1">
      <c r="A157" s="2"/>
      <c r="B157" s="2"/>
      <c r="C157" s="2"/>
      <c r="D157" s="2"/>
      <c r="E157" s="2"/>
      <c r="F157" s="2"/>
      <c r="G157" s="2"/>
      <c r="H157" s="2"/>
      <c r="I157" s="2"/>
      <c r="J157" s="2"/>
      <c r="K157" s="2"/>
      <c r="L157" s="2"/>
    </row>
    <row r="158" ht="14.25" customHeight="1">
      <c r="A158" s="2"/>
      <c r="B158" s="2"/>
      <c r="C158" s="2"/>
      <c r="D158" s="2"/>
      <c r="E158" s="2"/>
      <c r="F158" s="2"/>
      <c r="G158" s="2"/>
      <c r="H158" s="2"/>
      <c r="I158" s="2"/>
      <c r="J158" s="2"/>
      <c r="K158" s="2"/>
      <c r="L158" s="2"/>
    </row>
    <row r="159" ht="14.25" customHeight="1">
      <c r="A159" s="2"/>
      <c r="B159" s="2"/>
      <c r="C159" s="2"/>
      <c r="D159" s="2"/>
      <c r="E159" s="2"/>
      <c r="F159" s="2"/>
      <c r="G159" s="2"/>
      <c r="H159" s="2"/>
      <c r="I159" s="2"/>
      <c r="J159" s="2"/>
      <c r="K159" s="2"/>
      <c r="L159" s="2"/>
    </row>
    <row r="160" ht="14.25" customHeight="1">
      <c r="A160" s="2"/>
      <c r="B160" s="2"/>
      <c r="C160" s="2"/>
      <c r="D160" s="2"/>
      <c r="E160" s="2"/>
      <c r="F160" s="2"/>
      <c r="G160" s="2"/>
      <c r="H160" s="2"/>
      <c r="I160" s="2"/>
      <c r="J160" s="2"/>
      <c r="K160" s="2"/>
      <c r="L160" s="2"/>
    </row>
    <row r="161" ht="14.25" customHeight="1">
      <c r="A161" s="2"/>
      <c r="B161" s="2"/>
      <c r="C161" s="2"/>
      <c r="D161" s="2"/>
      <c r="E161" s="2"/>
      <c r="F161" s="2"/>
      <c r="G161" s="2"/>
      <c r="H161" s="2"/>
      <c r="I161" s="2"/>
      <c r="J161" s="2"/>
      <c r="K161" s="2"/>
      <c r="L161" s="2"/>
    </row>
    <row r="162" ht="14.25" customHeight="1">
      <c r="A162" s="2"/>
      <c r="B162" s="2"/>
      <c r="C162" s="2"/>
      <c r="D162" s="2"/>
      <c r="E162" s="2"/>
      <c r="F162" s="2"/>
      <c r="G162" s="2"/>
      <c r="H162" s="2"/>
      <c r="I162" s="2"/>
      <c r="J162" s="2"/>
      <c r="K162" s="2"/>
      <c r="L162" s="2"/>
    </row>
    <row r="163" ht="14.25" customHeight="1">
      <c r="A163" s="2"/>
      <c r="B163" s="2"/>
      <c r="C163" s="2"/>
      <c r="D163" s="2"/>
      <c r="E163" s="2"/>
      <c r="F163" s="2"/>
      <c r="G163" s="2"/>
      <c r="H163" s="2"/>
      <c r="I163" s="2"/>
      <c r="J163" s="2"/>
      <c r="K163" s="2"/>
      <c r="L163" s="2"/>
    </row>
    <row r="164" ht="14.25" customHeight="1">
      <c r="A164" s="2"/>
      <c r="B164" s="2"/>
      <c r="C164" s="2"/>
      <c r="D164" s="2"/>
      <c r="E164" s="2"/>
      <c r="F164" s="2"/>
      <c r="G164" s="2"/>
      <c r="H164" s="2"/>
      <c r="I164" s="2"/>
      <c r="J164" s="2"/>
      <c r="K164" s="2"/>
      <c r="L164" s="2"/>
    </row>
    <row r="165" ht="14.25" customHeight="1">
      <c r="A165" s="2"/>
      <c r="B165" s="2"/>
      <c r="C165" s="2"/>
      <c r="D165" s="2"/>
      <c r="E165" s="2"/>
      <c r="F165" s="2"/>
      <c r="G165" s="2"/>
      <c r="H165" s="2"/>
      <c r="I165" s="2"/>
      <c r="J165" s="2"/>
      <c r="K165" s="2"/>
      <c r="L165" s="2"/>
    </row>
    <row r="166" ht="14.25" customHeight="1">
      <c r="A166" s="2"/>
      <c r="B166" s="2"/>
      <c r="C166" s="2"/>
      <c r="D166" s="2"/>
      <c r="E166" s="2"/>
      <c r="F166" s="2"/>
      <c r="G166" s="2"/>
      <c r="H166" s="2"/>
      <c r="I166" s="2"/>
      <c r="J166" s="2"/>
      <c r="K166" s="2"/>
      <c r="L166" s="2"/>
    </row>
    <row r="167" ht="14.25" customHeight="1">
      <c r="A167" s="2"/>
      <c r="B167" s="2"/>
      <c r="C167" s="2"/>
      <c r="D167" s="2"/>
      <c r="E167" s="2"/>
      <c r="F167" s="2"/>
      <c r="G167" s="2"/>
      <c r="H167" s="2"/>
      <c r="I167" s="2"/>
      <c r="J167" s="2"/>
      <c r="K167" s="2"/>
      <c r="L167" s="2"/>
    </row>
    <row r="168" ht="14.25" customHeight="1">
      <c r="A168" s="2"/>
      <c r="B168" s="2"/>
      <c r="C168" s="2"/>
      <c r="D168" s="2"/>
      <c r="E168" s="2"/>
      <c r="F168" s="2"/>
      <c r="G168" s="2"/>
      <c r="H168" s="2"/>
      <c r="I168" s="2"/>
      <c r="J168" s="2"/>
      <c r="K168" s="2"/>
      <c r="L168" s="2"/>
    </row>
    <row r="169" ht="14.25" customHeight="1">
      <c r="A169" s="2"/>
      <c r="B169" s="2"/>
      <c r="C169" s="2"/>
      <c r="D169" s="2"/>
      <c r="E169" s="2"/>
      <c r="F169" s="2"/>
      <c r="G169" s="2"/>
      <c r="H169" s="2"/>
      <c r="I169" s="2"/>
      <c r="J169" s="2"/>
      <c r="K169" s="2"/>
      <c r="L169" s="2"/>
    </row>
    <row r="170" ht="14.25" customHeight="1">
      <c r="A170" s="2"/>
      <c r="B170" s="2"/>
      <c r="C170" s="2"/>
      <c r="D170" s="2"/>
      <c r="E170" s="2"/>
      <c r="F170" s="2"/>
      <c r="G170" s="2"/>
      <c r="H170" s="2"/>
      <c r="I170" s="2"/>
      <c r="J170" s="2"/>
      <c r="K170" s="2"/>
      <c r="L170" s="2"/>
    </row>
    <row r="171" ht="14.25" customHeight="1">
      <c r="A171" s="2"/>
      <c r="B171" s="2"/>
      <c r="C171" s="2"/>
      <c r="D171" s="2"/>
      <c r="E171" s="2"/>
      <c r="F171" s="2"/>
      <c r="G171" s="2"/>
      <c r="H171" s="2"/>
      <c r="I171" s="2"/>
      <c r="J171" s="2"/>
      <c r="K171" s="2"/>
      <c r="L171" s="2"/>
    </row>
    <row r="172" ht="14.25" customHeight="1">
      <c r="A172" s="2"/>
      <c r="B172" s="2"/>
      <c r="C172" s="2"/>
      <c r="D172" s="2"/>
      <c r="E172" s="2"/>
      <c r="F172" s="2"/>
      <c r="G172" s="2"/>
      <c r="H172" s="2"/>
      <c r="I172" s="2"/>
      <c r="J172" s="2"/>
      <c r="K172" s="2"/>
      <c r="L172" s="2"/>
    </row>
    <row r="173" ht="14.25" customHeight="1">
      <c r="A173" s="2"/>
      <c r="B173" s="2"/>
      <c r="C173" s="2"/>
      <c r="D173" s="2"/>
      <c r="E173" s="2"/>
      <c r="F173" s="2"/>
      <c r="G173" s="2"/>
      <c r="H173" s="2"/>
      <c r="I173" s="2"/>
      <c r="J173" s="2"/>
      <c r="K173" s="2"/>
      <c r="L173" s="2"/>
    </row>
    <row r="174" ht="14.25" customHeight="1">
      <c r="A174" s="2"/>
      <c r="B174" s="2"/>
      <c r="C174" s="2"/>
      <c r="D174" s="2"/>
      <c r="E174" s="2"/>
      <c r="F174" s="2"/>
      <c r="G174" s="2"/>
      <c r="H174" s="2"/>
      <c r="I174" s="2"/>
      <c r="J174" s="2"/>
      <c r="K174" s="2"/>
      <c r="L174" s="2"/>
    </row>
    <row r="175" ht="14.25" customHeight="1">
      <c r="A175" s="2"/>
      <c r="B175" s="2"/>
      <c r="C175" s="2"/>
      <c r="D175" s="2"/>
      <c r="E175" s="2"/>
      <c r="F175" s="2"/>
      <c r="G175" s="2"/>
      <c r="H175" s="2"/>
      <c r="I175" s="2"/>
      <c r="J175" s="2"/>
      <c r="K175" s="2"/>
      <c r="L175" s="2"/>
    </row>
    <row r="176" ht="14.25" customHeight="1">
      <c r="A176" s="2"/>
      <c r="B176" s="2"/>
      <c r="C176" s="2"/>
      <c r="D176" s="2"/>
      <c r="E176" s="2"/>
      <c r="F176" s="2"/>
      <c r="G176" s="2"/>
      <c r="H176" s="2"/>
      <c r="I176" s="2"/>
      <c r="J176" s="2"/>
      <c r="K176" s="2"/>
      <c r="L176" s="2"/>
    </row>
    <row r="177" ht="14.25" customHeight="1">
      <c r="A177" s="2"/>
      <c r="B177" s="2"/>
      <c r="C177" s="2"/>
      <c r="D177" s="2"/>
      <c r="E177" s="2"/>
      <c r="F177" s="2"/>
      <c r="G177" s="2"/>
      <c r="H177" s="2"/>
      <c r="I177" s="2"/>
      <c r="J177" s="2"/>
      <c r="K177" s="2"/>
      <c r="L177" s="2"/>
    </row>
    <row r="178" ht="14.25" customHeight="1">
      <c r="A178" s="2"/>
      <c r="B178" s="2"/>
      <c r="C178" s="2"/>
      <c r="D178" s="2"/>
      <c r="E178" s="2"/>
      <c r="F178" s="2"/>
      <c r="G178" s="2"/>
      <c r="H178" s="2"/>
      <c r="I178" s="2"/>
      <c r="J178" s="2"/>
      <c r="K178" s="2"/>
      <c r="L178" s="2"/>
    </row>
    <row r="179" ht="14.25" customHeight="1">
      <c r="A179" s="2"/>
      <c r="B179" s="2"/>
      <c r="C179" s="2"/>
      <c r="D179" s="2"/>
      <c r="E179" s="2"/>
      <c r="F179" s="2"/>
      <c r="G179" s="2"/>
      <c r="H179" s="2"/>
      <c r="I179" s="2"/>
      <c r="J179" s="2"/>
      <c r="K179" s="2"/>
      <c r="L179" s="2"/>
    </row>
    <row r="180" ht="14.25" customHeight="1">
      <c r="A180" s="2"/>
      <c r="B180" s="2"/>
      <c r="C180" s="2"/>
      <c r="D180" s="2"/>
      <c r="E180" s="2"/>
      <c r="F180" s="2"/>
      <c r="G180" s="2"/>
      <c r="H180" s="2"/>
      <c r="I180" s="2"/>
      <c r="J180" s="2"/>
      <c r="K180" s="2"/>
      <c r="L180" s="2"/>
    </row>
    <row r="181" ht="14.25" customHeight="1">
      <c r="A181" s="2"/>
      <c r="B181" s="2"/>
      <c r="C181" s="2"/>
      <c r="D181" s="2"/>
      <c r="E181" s="2"/>
      <c r="F181" s="2"/>
      <c r="G181" s="2"/>
      <c r="H181" s="2"/>
      <c r="I181" s="2"/>
      <c r="J181" s="2"/>
      <c r="K181" s="2"/>
      <c r="L181" s="2"/>
    </row>
    <row r="182" ht="14.25" customHeight="1">
      <c r="A182" s="2"/>
      <c r="B182" s="2"/>
      <c r="C182" s="2"/>
      <c r="D182" s="2"/>
      <c r="E182" s="2"/>
      <c r="F182" s="2"/>
      <c r="G182" s="2"/>
      <c r="H182" s="2"/>
      <c r="I182" s="2"/>
      <c r="J182" s="2"/>
      <c r="K182" s="2"/>
      <c r="L182" s="2"/>
    </row>
    <row r="183" ht="14.25" customHeight="1">
      <c r="A183" s="2"/>
      <c r="B183" s="2"/>
      <c r="C183" s="2"/>
      <c r="D183" s="2"/>
      <c r="E183" s="2"/>
      <c r="F183" s="2"/>
      <c r="G183" s="2"/>
      <c r="H183" s="2"/>
      <c r="I183" s="2"/>
      <c r="J183" s="2"/>
      <c r="K183" s="2"/>
      <c r="L183" s="2"/>
    </row>
    <row r="184" ht="14.25" customHeight="1">
      <c r="A184" s="2"/>
      <c r="B184" s="2"/>
      <c r="C184" s="2"/>
      <c r="D184" s="2"/>
      <c r="E184" s="2"/>
      <c r="F184" s="2"/>
      <c r="G184" s="2"/>
      <c r="H184" s="2"/>
      <c r="I184" s="2"/>
      <c r="J184" s="2"/>
      <c r="K184" s="2"/>
      <c r="L184" s="2"/>
    </row>
    <row r="185" ht="14.25" customHeight="1">
      <c r="A185" s="2"/>
      <c r="B185" s="2"/>
      <c r="C185" s="2"/>
      <c r="D185" s="2"/>
      <c r="E185" s="2"/>
      <c r="F185" s="2"/>
      <c r="G185" s="2"/>
      <c r="H185" s="2"/>
      <c r="I185" s="2"/>
      <c r="J185" s="2"/>
      <c r="K185" s="2"/>
      <c r="L185" s="2"/>
    </row>
    <row r="186" ht="14.25" customHeight="1">
      <c r="A186" s="2"/>
      <c r="B186" s="2"/>
      <c r="C186" s="2"/>
      <c r="D186" s="2"/>
      <c r="E186" s="2"/>
      <c r="F186" s="2"/>
      <c r="G186" s="2"/>
      <c r="H186" s="2"/>
      <c r="I186" s="2"/>
      <c r="J186" s="2"/>
      <c r="K186" s="2"/>
      <c r="L186" s="2"/>
    </row>
    <row r="187" ht="14.25" customHeight="1">
      <c r="A187" s="2"/>
      <c r="B187" s="2"/>
      <c r="C187" s="2"/>
      <c r="D187" s="2"/>
      <c r="E187" s="2"/>
      <c r="F187" s="2"/>
      <c r="G187" s="2"/>
      <c r="H187" s="2"/>
      <c r="I187" s="2"/>
      <c r="J187" s="2"/>
      <c r="K187" s="2"/>
      <c r="L187" s="2"/>
    </row>
    <row r="188" ht="14.25" customHeight="1">
      <c r="A188" s="2"/>
      <c r="B188" s="2"/>
      <c r="C188" s="2"/>
      <c r="D188" s="2"/>
      <c r="E188" s="2"/>
      <c r="F188" s="2"/>
      <c r="G188" s="2"/>
      <c r="H188" s="2"/>
      <c r="I188" s="2"/>
      <c r="J188" s="2"/>
      <c r="K188" s="2"/>
      <c r="L188" s="2"/>
    </row>
    <row r="189" ht="14.25" customHeight="1">
      <c r="A189" s="2"/>
      <c r="B189" s="2"/>
      <c r="C189" s="2"/>
      <c r="D189" s="2"/>
      <c r="E189" s="2"/>
      <c r="F189" s="2"/>
      <c r="G189" s="2"/>
      <c r="H189" s="2"/>
      <c r="I189" s="2"/>
      <c r="J189" s="2"/>
      <c r="K189" s="2"/>
      <c r="L189" s="2"/>
    </row>
    <row r="190" ht="14.25" customHeight="1">
      <c r="A190" s="2"/>
      <c r="B190" s="2"/>
      <c r="C190" s="2"/>
      <c r="D190" s="2"/>
      <c r="E190" s="2"/>
      <c r="F190" s="2"/>
      <c r="G190" s="2"/>
      <c r="H190" s="2"/>
      <c r="I190" s="2"/>
      <c r="J190" s="2"/>
      <c r="K190" s="2"/>
      <c r="L190" s="2"/>
    </row>
    <row r="191" ht="14.25" customHeight="1">
      <c r="A191" s="2"/>
      <c r="B191" s="2"/>
      <c r="C191" s="2"/>
      <c r="D191" s="2"/>
      <c r="E191" s="2"/>
      <c r="F191" s="2"/>
      <c r="G191" s="2"/>
      <c r="H191" s="2"/>
      <c r="I191" s="2"/>
      <c r="J191" s="2"/>
      <c r="K191" s="2"/>
      <c r="L191" s="2"/>
    </row>
    <row r="192" ht="14.25" customHeight="1">
      <c r="A192" s="2"/>
      <c r="B192" s="2"/>
      <c r="C192" s="2"/>
      <c r="D192" s="2"/>
      <c r="E192" s="2"/>
      <c r="F192" s="2"/>
      <c r="G192" s="2"/>
      <c r="H192" s="2"/>
      <c r="I192" s="2"/>
      <c r="J192" s="2"/>
      <c r="K192" s="2"/>
      <c r="L192" s="2"/>
    </row>
    <row r="193" ht="14.25" customHeight="1">
      <c r="A193" s="2"/>
      <c r="B193" s="2"/>
      <c r="C193" s="2"/>
      <c r="D193" s="2"/>
      <c r="E193" s="2"/>
      <c r="F193" s="2"/>
      <c r="G193" s="2"/>
      <c r="H193" s="2"/>
      <c r="I193" s="2"/>
      <c r="J193" s="2"/>
      <c r="K193" s="2"/>
      <c r="L193" s="2"/>
    </row>
    <row r="194" ht="14.25" customHeight="1">
      <c r="A194" s="2"/>
      <c r="B194" s="2"/>
      <c r="C194" s="2"/>
      <c r="D194" s="2"/>
      <c r="E194" s="2"/>
      <c r="F194" s="2"/>
      <c r="G194" s="2"/>
      <c r="H194" s="2"/>
      <c r="I194" s="2"/>
      <c r="J194" s="2"/>
      <c r="K194" s="2"/>
      <c r="L194" s="2"/>
    </row>
    <row r="195" ht="14.25" customHeight="1">
      <c r="A195" s="2"/>
      <c r="B195" s="2"/>
      <c r="C195" s="2"/>
      <c r="D195" s="2"/>
      <c r="E195" s="2"/>
      <c r="F195" s="2"/>
      <c r="G195" s="2"/>
      <c r="H195" s="2"/>
      <c r="I195" s="2"/>
      <c r="J195" s="2"/>
      <c r="K195" s="2"/>
      <c r="L195" s="2"/>
    </row>
    <row r="196" ht="14.25" customHeight="1">
      <c r="A196" s="2"/>
      <c r="B196" s="2"/>
      <c r="C196" s="2"/>
      <c r="D196" s="2"/>
      <c r="E196" s="2"/>
      <c r="F196" s="2"/>
      <c r="G196" s="2"/>
      <c r="H196" s="2"/>
      <c r="I196" s="2"/>
      <c r="J196" s="2"/>
      <c r="K196" s="2"/>
      <c r="L196" s="2"/>
    </row>
    <row r="197" ht="14.25" customHeight="1">
      <c r="A197" s="2"/>
      <c r="B197" s="2"/>
      <c r="C197" s="2"/>
      <c r="D197" s="2"/>
      <c r="E197" s="2"/>
      <c r="F197" s="2"/>
      <c r="G197" s="2"/>
      <c r="H197" s="2"/>
      <c r="I197" s="2"/>
      <c r="J197" s="2"/>
      <c r="K197" s="2"/>
      <c r="L197" s="2"/>
    </row>
    <row r="198" ht="14.25" customHeight="1">
      <c r="A198" s="2"/>
      <c r="B198" s="2"/>
      <c r="C198" s="2"/>
      <c r="D198" s="2"/>
      <c r="E198" s="2"/>
      <c r="F198" s="2"/>
      <c r="G198" s="2"/>
      <c r="H198" s="2"/>
      <c r="I198" s="2"/>
      <c r="J198" s="2"/>
      <c r="K198" s="2"/>
      <c r="L198" s="2"/>
    </row>
    <row r="199" ht="14.25" customHeight="1">
      <c r="A199" s="2"/>
      <c r="B199" s="2"/>
      <c r="C199" s="2"/>
      <c r="D199" s="2"/>
      <c r="E199" s="2"/>
      <c r="F199" s="2"/>
      <c r="G199" s="2"/>
      <c r="H199" s="2"/>
      <c r="I199" s="2"/>
      <c r="J199" s="2"/>
      <c r="K199" s="2"/>
      <c r="L199" s="2"/>
    </row>
    <row r="200" ht="14.25" customHeight="1">
      <c r="A200" s="2"/>
      <c r="B200" s="2"/>
      <c r="C200" s="2"/>
      <c r="D200" s="2"/>
      <c r="E200" s="2"/>
      <c r="F200" s="2"/>
      <c r="G200" s="2"/>
      <c r="H200" s="2"/>
      <c r="I200" s="2"/>
      <c r="J200" s="2"/>
      <c r="K200" s="2"/>
      <c r="L200" s="2"/>
    </row>
    <row r="201" ht="14.25" customHeight="1">
      <c r="A201" s="2"/>
      <c r="B201" s="2"/>
      <c r="C201" s="2"/>
      <c r="D201" s="2"/>
      <c r="E201" s="2"/>
      <c r="F201" s="2"/>
      <c r="G201" s="2"/>
      <c r="H201" s="2"/>
      <c r="I201" s="2"/>
      <c r="J201" s="2"/>
      <c r="K201" s="2"/>
      <c r="L201" s="2"/>
    </row>
    <row r="202" ht="14.25" customHeight="1">
      <c r="A202" s="2"/>
      <c r="B202" s="2"/>
      <c r="C202" s="2"/>
      <c r="D202" s="2"/>
      <c r="E202" s="2"/>
      <c r="F202" s="2"/>
      <c r="G202" s="2"/>
      <c r="H202" s="2"/>
      <c r="I202" s="2"/>
      <c r="J202" s="2"/>
      <c r="K202" s="2"/>
      <c r="L202" s="2"/>
    </row>
    <row r="203" ht="14.25" customHeight="1">
      <c r="A203" s="2"/>
      <c r="B203" s="2"/>
      <c r="C203" s="2"/>
      <c r="D203" s="2"/>
      <c r="E203" s="2"/>
      <c r="F203" s="2"/>
      <c r="G203" s="2"/>
      <c r="H203" s="2"/>
      <c r="I203" s="2"/>
      <c r="J203" s="2"/>
      <c r="K203" s="2"/>
      <c r="L203" s="2"/>
    </row>
    <row r="204" ht="14.25" customHeight="1">
      <c r="A204" s="2"/>
      <c r="B204" s="2"/>
      <c r="C204" s="2"/>
      <c r="D204" s="2"/>
      <c r="E204" s="2"/>
      <c r="F204" s="2"/>
      <c r="G204" s="2"/>
      <c r="H204" s="2"/>
      <c r="I204" s="2"/>
      <c r="J204" s="2"/>
      <c r="K204" s="2"/>
      <c r="L204" s="2"/>
    </row>
    <row r="205" ht="14.25" customHeight="1">
      <c r="A205" s="2"/>
      <c r="B205" s="2"/>
      <c r="C205" s="2"/>
      <c r="D205" s="2"/>
      <c r="E205" s="2"/>
      <c r="F205" s="2"/>
      <c r="G205" s="2"/>
      <c r="H205" s="2"/>
      <c r="I205" s="2"/>
      <c r="J205" s="2"/>
      <c r="K205" s="2"/>
      <c r="L205" s="2"/>
    </row>
    <row r="206" ht="14.25" customHeight="1">
      <c r="A206" s="2"/>
      <c r="B206" s="2"/>
      <c r="C206" s="2"/>
      <c r="D206" s="2"/>
      <c r="E206" s="2"/>
      <c r="F206" s="2"/>
      <c r="G206" s="2"/>
      <c r="H206" s="2"/>
      <c r="I206" s="2"/>
      <c r="J206" s="2"/>
      <c r="K206" s="2"/>
      <c r="L206" s="2"/>
    </row>
    <row r="207" ht="14.25" customHeight="1">
      <c r="A207" s="2"/>
      <c r="B207" s="2"/>
      <c r="C207" s="2"/>
      <c r="D207" s="2"/>
      <c r="E207" s="2"/>
      <c r="F207" s="2"/>
      <c r="G207" s="2"/>
      <c r="H207" s="2"/>
      <c r="I207" s="2"/>
      <c r="J207" s="2"/>
      <c r="K207" s="2"/>
      <c r="L207" s="2"/>
    </row>
    <row r="208" ht="14.25" customHeight="1">
      <c r="A208" s="2"/>
      <c r="B208" s="2"/>
      <c r="C208" s="2"/>
      <c r="D208" s="2"/>
      <c r="E208" s="2"/>
      <c r="F208" s="2"/>
      <c r="G208" s="2"/>
      <c r="H208" s="2"/>
      <c r="I208" s="2"/>
      <c r="J208" s="2"/>
      <c r="K208" s="2"/>
      <c r="L208" s="2"/>
    </row>
    <row r="209" ht="14.25" customHeight="1">
      <c r="A209" s="2"/>
      <c r="B209" s="2"/>
      <c r="C209" s="2"/>
      <c r="D209" s="2"/>
      <c r="E209" s="2"/>
      <c r="F209" s="2"/>
      <c r="G209" s="2"/>
      <c r="H209" s="2"/>
      <c r="I209" s="2"/>
      <c r="J209" s="2"/>
      <c r="K209" s="2"/>
      <c r="L209" s="2"/>
    </row>
    <row r="210" ht="14.25" customHeight="1">
      <c r="A210" s="2"/>
      <c r="B210" s="2"/>
      <c r="C210" s="2"/>
      <c r="D210" s="2"/>
      <c r="E210" s="2"/>
      <c r="F210" s="2"/>
      <c r="G210" s="2"/>
      <c r="H210" s="2"/>
      <c r="I210" s="2"/>
      <c r="J210" s="2"/>
      <c r="K210" s="2"/>
      <c r="L210" s="2"/>
    </row>
    <row r="211" ht="14.25" customHeight="1">
      <c r="A211" s="2"/>
      <c r="B211" s="2"/>
      <c r="C211" s="2"/>
      <c r="D211" s="2"/>
      <c r="E211" s="2"/>
      <c r="F211" s="2"/>
      <c r="G211" s="2"/>
      <c r="H211" s="2"/>
      <c r="I211" s="2"/>
      <c r="J211" s="2"/>
      <c r="K211" s="2"/>
      <c r="L211" s="2"/>
    </row>
    <row r="212" ht="14.25" customHeight="1">
      <c r="A212" s="2"/>
      <c r="B212" s="2"/>
      <c r="C212" s="2"/>
      <c r="D212" s="2"/>
      <c r="E212" s="2"/>
      <c r="F212" s="2"/>
      <c r="G212" s="2"/>
      <c r="H212" s="2"/>
      <c r="I212" s="2"/>
      <c r="J212" s="2"/>
      <c r="K212" s="2"/>
      <c r="L212" s="2"/>
    </row>
    <row r="213" ht="14.25" customHeight="1">
      <c r="A213" s="2"/>
      <c r="B213" s="2"/>
      <c r="C213" s="2"/>
      <c r="D213" s="2"/>
      <c r="E213" s="2"/>
      <c r="F213" s="2"/>
      <c r="G213" s="2"/>
      <c r="H213" s="2"/>
      <c r="I213" s="2"/>
      <c r="J213" s="2"/>
      <c r="K213" s="2"/>
      <c r="L213" s="2"/>
    </row>
    <row r="214" ht="14.25" customHeight="1">
      <c r="A214" s="2"/>
      <c r="B214" s="2"/>
      <c r="C214" s="2"/>
      <c r="D214" s="2"/>
      <c r="E214" s="2"/>
      <c r="F214" s="2"/>
      <c r="G214" s="2"/>
      <c r="H214" s="2"/>
      <c r="I214" s="2"/>
      <c r="J214" s="2"/>
      <c r="K214" s="2"/>
      <c r="L214" s="2"/>
    </row>
    <row r="215" ht="14.25" customHeight="1">
      <c r="A215" s="2"/>
      <c r="B215" s="2"/>
      <c r="C215" s="2"/>
      <c r="D215" s="2"/>
      <c r="E215" s="2"/>
      <c r="F215" s="2"/>
      <c r="G215" s="2"/>
      <c r="H215" s="2"/>
      <c r="I215" s="2"/>
      <c r="J215" s="2"/>
      <c r="K215" s="2"/>
      <c r="L215" s="2"/>
    </row>
    <row r="216" ht="14.25" customHeight="1">
      <c r="A216" s="2"/>
      <c r="B216" s="2"/>
      <c r="C216" s="2"/>
      <c r="D216" s="2"/>
      <c r="E216" s="2"/>
      <c r="F216" s="2"/>
      <c r="G216" s="2"/>
      <c r="H216" s="2"/>
      <c r="I216" s="2"/>
      <c r="J216" s="2"/>
      <c r="K216" s="2"/>
      <c r="L216" s="2"/>
    </row>
    <row r="217" ht="14.25" customHeight="1">
      <c r="A217" s="2"/>
      <c r="B217" s="2"/>
      <c r="C217" s="2"/>
      <c r="D217" s="2"/>
      <c r="E217" s="2"/>
      <c r="F217" s="2"/>
      <c r="G217" s="2"/>
      <c r="H217" s="2"/>
      <c r="I217" s="2"/>
      <c r="J217" s="2"/>
      <c r="K217" s="2"/>
      <c r="L217" s="2"/>
    </row>
    <row r="218" ht="14.25" customHeight="1">
      <c r="A218" s="2"/>
      <c r="B218" s="2"/>
      <c r="C218" s="2"/>
      <c r="D218" s="2"/>
      <c r="E218" s="2"/>
      <c r="F218" s="2"/>
      <c r="G218" s="2"/>
      <c r="H218" s="2"/>
      <c r="I218" s="2"/>
      <c r="J218" s="2"/>
      <c r="K218" s="2"/>
      <c r="L218" s="2"/>
    </row>
    <row r="219" ht="14.25" customHeight="1">
      <c r="A219" s="2"/>
      <c r="B219" s="2"/>
      <c r="C219" s="2"/>
      <c r="D219" s="2"/>
      <c r="E219" s="2"/>
      <c r="F219" s="2"/>
      <c r="G219" s="2"/>
      <c r="H219" s="2"/>
      <c r="I219" s="2"/>
      <c r="J219" s="2"/>
      <c r="K219" s="2"/>
      <c r="L219" s="2"/>
    </row>
    <row r="220" ht="14.25" customHeight="1">
      <c r="A220" s="2"/>
      <c r="B220" s="2"/>
      <c r="C220" s="2"/>
      <c r="D220" s="2"/>
      <c r="E220" s="2"/>
      <c r="F220" s="2"/>
      <c r="G220" s="2"/>
      <c r="H220" s="2"/>
      <c r="I220" s="2"/>
      <c r="J220" s="2"/>
      <c r="K220" s="2"/>
      <c r="L220" s="2"/>
    </row>
    <row r="221" ht="14.25" customHeight="1">
      <c r="A221" s="2"/>
      <c r="B221" s="2"/>
      <c r="C221" s="2"/>
      <c r="D221" s="2"/>
      <c r="E221" s="2"/>
      <c r="F221" s="2"/>
      <c r="G221" s="2"/>
      <c r="H221" s="2"/>
      <c r="I221" s="2"/>
      <c r="J221" s="2"/>
      <c r="K221" s="2"/>
      <c r="L221" s="2"/>
    </row>
    <row r="222" ht="14.25" customHeight="1">
      <c r="A222" s="2"/>
      <c r="B222" s="2"/>
      <c r="C222" s="2"/>
      <c r="D222" s="2"/>
      <c r="E222" s="2"/>
      <c r="F222" s="2"/>
      <c r="G222" s="2"/>
      <c r="H222" s="2"/>
      <c r="I222" s="2"/>
      <c r="J222" s="2"/>
      <c r="K222" s="2"/>
      <c r="L222" s="2"/>
    </row>
    <row r="223" ht="14.25" customHeight="1">
      <c r="A223" s="2"/>
      <c r="B223" s="2"/>
      <c r="C223" s="2"/>
      <c r="D223" s="2"/>
      <c r="E223" s="2"/>
      <c r="F223" s="2"/>
      <c r="G223" s="2"/>
      <c r="H223" s="2"/>
      <c r="I223" s="2"/>
      <c r="J223" s="2"/>
      <c r="K223" s="2"/>
      <c r="L223" s="2"/>
    </row>
    <row r="224" ht="14.25" customHeight="1">
      <c r="A224" s="2"/>
      <c r="B224" s="2"/>
      <c r="C224" s="2"/>
      <c r="D224" s="2"/>
      <c r="E224" s="2"/>
      <c r="F224" s="2"/>
      <c r="G224" s="2"/>
      <c r="H224" s="2"/>
      <c r="I224" s="2"/>
      <c r="J224" s="2"/>
      <c r="K224" s="2"/>
      <c r="L224" s="2"/>
    </row>
    <row r="225" ht="14.25" customHeight="1">
      <c r="A225" s="2"/>
      <c r="B225" s="2"/>
      <c r="C225" s="2"/>
      <c r="D225" s="2"/>
      <c r="E225" s="2"/>
      <c r="F225" s="2"/>
      <c r="G225" s="2"/>
      <c r="H225" s="2"/>
      <c r="I225" s="2"/>
      <c r="J225" s="2"/>
      <c r="K225" s="2"/>
      <c r="L225" s="2"/>
    </row>
    <row r="226" ht="14.25" customHeight="1">
      <c r="A226" s="2"/>
      <c r="B226" s="2"/>
      <c r="C226" s="2"/>
      <c r="D226" s="2"/>
      <c r="E226" s="2"/>
      <c r="F226" s="2"/>
      <c r="G226" s="2"/>
      <c r="H226" s="2"/>
      <c r="I226" s="2"/>
      <c r="J226" s="2"/>
      <c r="K226" s="2"/>
      <c r="L226" s="2"/>
    </row>
    <row r="227" ht="14.25" customHeight="1">
      <c r="A227" s="2"/>
      <c r="B227" s="2"/>
      <c r="C227" s="2"/>
      <c r="D227" s="2"/>
      <c r="E227" s="2"/>
      <c r="F227" s="2"/>
      <c r="G227" s="2"/>
      <c r="H227" s="2"/>
      <c r="I227" s="2"/>
      <c r="J227" s="2"/>
      <c r="K227" s="2"/>
      <c r="L227" s="2"/>
    </row>
    <row r="228" ht="14.25" customHeight="1">
      <c r="A228" s="2"/>
      <c r="B228" s="2"/>
      <c r="C228" s="2"/>
      <c r="D228" s="2"/>
      <c r="E228" s="2"/>
      <c r="F228" s="2"/>
      <c r="G228" s="2"/>
      <c r="H228" s="2"/>
      <c r="I228" s="2"/>
      <c r="J228" s="2"/>
      <c r="K228" s="2"/>
      <c r="L228" s="2"/>
    </row>
    <row r="229" ht="14.25" customHeight="1">
      <c r="A229" s="2"/>
      <c r="B229" s="2"/>
      <c r="C229" s="2"/>
      <c r="D229" s="2"/>
      <c r="E229" s="2"/>
      <c r="F229" s="2"/>
      <c r="G229" s="2"/>
      <c r="H229" s="2"/>
      <c r="I229" s="2"/>
      <c r="J229" s="2"/>
      <c r="K229" s="2"/>
      <c r="L229" s="2"/>
    </row>
    <row r="230" ht="14.25" customHeight="1">
      <c r="A230" s="2"/>
      <c r="B230" s="2"/>
      <c r="C230" s="2"/>
      <c r="D230" s="2"/>
      <c r="E230" s="2"/>
      <c r="F230" s="2"/>
      <c r="G230" s="2"/>
      <c r="H230" s="2"/>
      <c r="I230" s="2"/>
      <c r="J230" s="2"/>
      <c r="K230" s="2"/>
      <c r="L230" s="2"/>
    </row>
    <row r="231" ht="14.25" customHeight="1">
      <c r="A231" s="2"/>
      <c r="B231" s="2"/>
      <c r="C231" s="2"/>
      <c r="D231" s="2"/>
      <c r="E231" s="2"/>
      <c r="F231" s="2"/>
      <c r="G231" s="2"/>
      <c r="H231" s="2"/>
      <c r="I231" s="2"/>
      <c r="J231" s="2"/>
      <c r="K231" s="2"/>
      <c r="L231" s="2"/>
    </row>
    <row r="232" ht="14.25" customHeight="1">
      <c r="A232" s="2"/>
      <c r="B232" s="2"/>
      <c r="C232" s="2"/>
      <c r="D232" s="2"/>
      <c r="E232" s="2"/>
      <c r="F232" s="2"/>
      <c r="G232" s="2"/>
      <c r="H232" s="2"/>
      <c r="I232" s="2"/>
      <c r="J232" s="2"/>
      <c r="K232" s="2"/>
      <c r="L232" s="2"/>
    </row>
    <row r="233" ht="14.25" customHeight="1">
      <c r="A233" s="2"/>
      <c r="B233" s="2"/>
      <c r="C233" s="2"/>
      <c r="D233" s="2"/>
      <c r="E233" s="2"/>
      <c r="F233" s="2"/>
      <c r="G233" s="2"/>
      <c r="H233" s="2"/>
      <c r="I233" s="2"/>
      <c r="J233" s="2"/>
      <c r="K233" s="2"/>
      <c r="L233" s="2"/>
    </row>
    <row r="234" ht="14.25" customHeight="1">
      <c r="A234" s="2"/>
      <c r="B234" s="2"/>
      <c r="C234" s="2"/>
      <c r="D234" s="2"/>
      <c r="E234" s="2"/>
      <c r="F234" s="2"/>
      <c r="G234" s="2"/>
      <c r="H234" s="2"/>
      <c r="I234" s="2"/>
      <c r="J234" s="2"/>
      <c r="K234" s="2"/>
      <c r="L234" s="2"/>
    </row>
    <row r="235" ht="14.25" customHeight="1">
      <c r="A235" s="2"/>
      <c r="B235" s="2"/>
      <c r="C235" s="2"/>
      <c r="D235" s="2"/>
      <c r="E235" s="2"/>
      <c r="F235" s="2"/>
      <c r="G235" s="2"/>
      <c r="H235" s="2"/>
      <c r="I235" s="2"/>
      <c r="J235" s="2"/>
      <c r="K235" s="2"/>
      <c r="L235" s="2"/>
    </row>
    <row r="236" ht="14.25" customHeight="1">
      <c r="A236" s="2"/>
      <c r="B236" s="2"/>
      <c r="C236" s="2"/>
      <c r="D236" s="2"/>
      <c r="E236" s="2"/>
      <c r="F236" s="2"/>
      <c r="G236" s="2"/>
      <c r="H236" s="2"/>
      <c r="I236" s="2"/>
      <c r="J236" s="2"/>
      <c r="K236" s="2"/>
      <c r="L236" s="2"/>
    </row>
    <row r="237" ht="14.25" customHeight="1">
      <c r="A237" s="2"/>
      <c r="B237" s="2"/>
      <c r="C237" s="2"/>
      <c r="D237" s="2"/>
      <c r="E237" s="2"/>
      <c r="F237" s="2"/>
      <c r="G237" s="2"/>
      <c r="H237" s="2"/>
      <c r="I237" s="2"/>
      <c r="J237" s="2"/>
      <c r="K237" s="2"/>
      <c r="L237" s="2"/>
    </row>
    <row r="238" ht="14.25" customHeight="1">
      <c r="A238" s="2"/>
      <c r="B238" s="2"/>
      <c r="C238" s="2"/>
      <c r="D238" s="2"/>
      <c r="E238" s="2"/>
      <c r="F238" s="2"/>
      <c r="G238" s="2"/>
      <c r="H238" s="2"/>
      <c r="I238" s="2"/>
      <c r="J238" s="2"/>
      <c r="K238" s="2"/>
      <c r="L238" s="2"/>
    </row>
    <row r="239" ht="14.25" customHeight="1">
      <c r="A239" s="2"/>
      <c r="B239" s="2"/>
      <c r="C239" s="2"/>
      <c r="D239" s="2"/>
      <c r="E239" s="2"/>
      <c r="F239" s="2"/>
      <c r="G239" s="2"/>
      <c r="H239" s="2"/>
      <c r="I239" s="2"/>
      <c r="J239" s="2"/>
      <c r="K239" s="2"/>
      <c r="L239" s="2"/>
    </row>
    <row r="240" ht="14.25" customHeight="1">
      <c r="A240" s="2"/>
      <c r="B240" s="2"/>
      <c r="C240" s="2"/>
      <c r="D240" s="2"/>
      <c r="E240" s="2"/>
      <c r="F240" s="2"/>
      <c r="G240" s="2"/>
      <c r="H240" s="2"/>
      <c r="I240" s="2"/>
      <c r="J240" s="2"/>
      <c r="K240" s="2"/>
      <c r="L240" s="2"/>
    </row>
    <row r="241" ht="14.25" customHeight="1">
      <c r="A241" s="2"/>
      <c r="B241" s="2"/>
      <c r="C241" s="2"/>
      <c r="D241" s="2"/>
      <c r="E241" s="2"/>
      <c r="F241" s="2"/>
      <c r="G241" s="2"/>
      <c r="H241" s="2"/>
      <c r="I241" s="2"/>
      <c r="J241" s="2"/>
      <c r="K241" s="2"/>
      <c r="L241" s="2"/>
    </row>
    <row r="242" ht="14.25" customHeight="1">
      <c r="A242" s="2"/>
      <c r="B242" s="2"/>
      <c r="C242" s="2"/>
      <c r="D242" s="2"/>
      <c r="E242" s="2"/>
      <c r="F242" s="2"/>
      <c r="G242" s="2"/>
      <c r="H242" s="2"/>
      <c r="I242" s="2"/>
      <c r="J242" s="2"/>
      <c r="K242" s="2"/>
      <c r="L242" s="2"/>
    </row>
    <row r="243" ht="14.25" customHeight="1">
      <c r="A243" s="2"/>
      <c r="B243" s="2"/>
      <c r="C243" s="2"/>
      <c r="D243" s="2"/>
      <c r="E243" s="2"/>
      <c r="F243" s="2"/>
      <c r="G243" s="2"/>
      <c r="H243" s="2"/>
      <c r="I243" s="2"/>
      <c r="J243" s="2"/>
      <c r="K243" s="2"/>
      <c r="L243" s="2"/>
    </row>
    <row r="244" ht="14.25" customHeight="1">
      <c r="A244" s="2"/>
      <c r="B244" s="2"/>
      <c r="C244" s="2"/>
      <c r="D244" s="2"/>
      <c r="E244" s="2"/>
      <c r="F244" s="2"/>
      <c r="G244" s="2"/>
      <c r="H244" s="2"/>
      <c r="I244" s="2"/>
      <c r="J244" s="2"/>
      <c r="K244" s="2"/>
      <c r="L244" s="2"/>
    </row>
    <row r="245" ht="14.25" customHeight="1">
      <c r="A245" s="2"/>
      <c r="B245" s="2"/>
      <c r="C245" s="2"/>
      <c r="D245" s="2"/>
      <c r="E245" s="2"/>
      <c r="F245" s="2"/>
      <c r="G245" s="2"/>
      <c r="H245" s="2"/>
      <c r="I245" s="2"/>
      <c r="J245" s="2"/>
      <c r="K245" s="2"/>
      <c r="L245" s="2"/>
    </row>
    <row r="246" ht="14.25" customHeight="1">
      <c r="A246" s="2"/>
      <c r="B246" s="2"/>
      <c r="C246" s="2"/>
      <c r="D246" s="2"/>
      <c r="E246" s="2"/>
      <c r="F246" s="2"/>
      <c r="G246" s="2"/>
      <c r="H246" s="2"/>
      <c r="I246" s="2"/>
      <c r="J246" s="2"/>
      <c r="K246" s="2"/>
      <c r="L246" s="2"/>
    </row>
    <row r="247" ht="14.25" customHeight="1">
      <c r="A247" s="2"/>
      <c r="B247" s="2"/>
      <c r="C247" s="2"/>
      <c r="D247" s="2"/>
      <c r="E247" s="2"/>
      <c r="F247" s="2"/>
      <c r="G247" s="2"/>
      <c r="H247" s="2"/>
      <c r="I247" s="2"/>
      <c r="J247" s="2"/>
      <c r="K247" s="2"/>
      <c r="L247" s="2"/>
    </row>
    <row r="248" ht="14.25" customHeight="1">
      <c r="A248" s="2"/>
      <c r="B248" s="2"/>
      <c r="C248" s="2"/>
      <c r="D248" s="2"/>
      <c r="E248" s="2"/>
      <c r="F248" s="2"/>
      <c r="G248" s="2"/>
      <c r="H248" s="2"/>
      <c r="I248" s="2"/>
      <c r="J248" s="2"/>
      <c r="K248" s="2"/>
      <c r="L248" s="2"/>
    </row>
    <row r="249" ht="14.25" customHeight="1">
      <c r="A249" s="2"/>
      <c r="B249" s="2"/>
      <c r="C249" s="2"/>
      <c r="D249" s="2"/>
      <c r="E249" s="2"/>
      <c r="F249" s="2"/>
      <c r="G249" s="2"/>
      <c r="H249" s="2"/>
      <c r="I249" s="2"/>
      <c r="J249" s="2"/>
      <c r="K249" s="2"/>
      <c r="L249" s="2"/>
    </row>
    <row r="250" ht="14.25" customHeight="1">
      <c r="A250" s="2"/>
      <c r="B250" s="2"/>
      <c r="C250" s="2"/>
      <c r="D250" s="2"/>
      <c r="E250" s="2"/>
      <c r="F250" s="2"/>
      <c r="G250" s="2"/>
      <c r="H250" s="2"/>
      <c r="I250" s="2"/>
      <c r="J250" s="2"/>
      <c r="K250" s="2"/>
      <c r="L250" s="2"/>
    </row>
    <row r="251" ht="14.25" customHeight="1">
      <c r="A251" s="2"/>
      <c r="B251" s="2"/>
      <c r="C251" s="2"/>
      <c r="D251" s="2"/>
      <c r="E251" s="2"/>
      <c r="F251" s="2"/>
      <c r="G251" s="2"/>
      <c r="H251" s="2"/>
      <c r="I251" s="2"/>
      <c r="J251" s="2"/>
      <c r="K251" s="2"/>
      <c r="L251" s="2"/>
    </row>
    <row r="252" ht="14.25" customHeight="1">
      <c r="A252" s="2"/>
      <c r="B252" s="2"/>
      <c r="C252" s="2"/>
      <c r="D252" s="2"/>
      <c r="E252" s="2"/>
      <c r="F252" s="2"/>
      <c r="G252" s="2"/>
      <c r="H252" s="2"/>
      <c r="I252" s="2"/>
      <c r="J252" s="2"/>
      <c r="K252" s="2"/>
      <c r="L252" s="2"/>
    </row>
    <row r="253" ht="14.25" customHeight="1">
      <c r="A253" s="2"/>
      <c r="B253" s="2"/>
      <c r="C253" s="2"/>
      <c r="D253" s="2"/>
      <c r="E253" s="2"/>
      <c r="F253" s="2"/>
      <c r="G253" s="2"/>
      <c r="H253" s="2"/>
      <c r="I253" s="2"/>
      <c r="J253" s="2"/>
      <c r="K253" s="2"/>
      <c r="L253" s="2"/>
    </row>
    <row r="254" ht="14.25" customHeight="1">
      <c r="A254" s="2"/>
      <c r="B254" s="2"/>
      <c r="C254" s="2"/>
      <c r="D254" s="2"/>
      <c r="E254" s="2"/>
      <c r="F254" s="2"/>
      <c r="G254" s="2"/>
      <c r="H254" s="2"/>
      <c r="I254" s="2"/>
      <c r="J254" s="2"/>
      <c r="K254" s="2"/>
      <c r="L254" s="2"/>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55"/>
  <conditionalFormatting sqref="I2:I51">
    <cfRule type="cellIs" dxfId="0" priority="1" operator="equal">
      <formula>"Lulus"</formula>
    </cfRule>
  </conditionalFormatting>
  <conditionalFormatting sqref="I2:I51">
    <cfRule type="cellIs" dxfId="1" priority="2" operator="equal">
      <formula>"Gagal"</formula>
    </cfRule>
  </conditionalFormatting>
  <conditionalFormatting sqref="I2:I51">
    <cfRule type="cellIs" dxfId="2" priority="3" operator="equal">
      <formula>"Diblokir"</formula>
    </cfRule>
  </conditionalFormatting>
  <conditionalFormatting sqref="I52:I54">
    <cfRule type="cellIs" dxfId="0" priority="4" operator="equal">
      <formula>"Lulus"</formula>
    </cfRule>
  </conditionalFormatting>
  <conditionalFormatting sqref="I52:I54">
    <cfRule type="cellIs" dxfId="1" priority="5" operator="equal">
      <formula>"Gagal"</formula>
    </cfRule>
  </conditionalFormatting>
  <conditionalFormatting sqref="I52:I54">
    <cfRule type="cellIs" dxfId="2" priority="6" operator="equal">
      <formula>"Diblokir"</formula>
    </cfRule>
  </conditionalFormatting>
  <dataValidations>
    <dataValidation type="list" allowBlank="1" sqref="I2:I54">
      <formula1>"Lulus,Gagal,Diblokir,Belum diuji"</formula1>
    </dataValidation>
  </dataValidations>
  <hyperlinks>
    <hyperlink r:id="rId1" ref="J19"/>
    <hyperlink r:id="rId2" ref="J20"/>
    <hyperlink r:id="rId3" ref="J21"/>
    <hyperlink r:id="rId4" ref="J22"/>
    <hyperlink r:id="rId5" ref="J23"/>
    <hyperlink r:id="rId6" ref="J26"/>
    <hyperlink r:id="rId7" ref="J30"/>
    <hyperlink r:id="rId8" ref="J37"/>
    <hyperlink r:id="rId9" ref="J38"/>
    <hyperlink r:id="rId10" ref="J40"/>
    <hyperlink r:id="rId11" ref="J42"/>
    <hyperlink r:id="rId12" ref="J43"/>
  </hyperlinks>
  <printOptions/>
  <pageMargins bottom="1.0" footer="0.0" header="0.0" left="0.75" right="0.75" top="1.0"/>
  <pageSetup paperSize="9" orientation="portrait"/>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9.0"/>
    <col customWidth="1" min="2" max="2" width="16.0"/>
    <col customWidth="1" min="3" max="3" width="28.0"/>
    <col customWidth="1" min="4" max="4" width="24.0"/>
    <col customWidth="1" min="5" max="5" width="36.0"/>
    <col customWidth="1" min="6" max="6" width="48.0"/>
    <col customWidth="1" min="7" max="7" width="32.0"/>
    <col customWidth="1" min="8" max="8" width="13.0"/>
    <col customWidth="1" min="9" max="9" width="28.0"/>
    <col customWidth="1" min="10" max="10" width="13.0"/>
    <col customWidth="1" min="11" max="11" width="14.0"/>
    <col customWidth="1" min="12" max="12" width="34.0"/>
    <col customWidth="1" min="13" max="13" width="60.0"/>
    <col customWidth="1" min="14" max="14" width="22.0"/>
  </cols>
  <sheetData>
    <row r="1" ht="30.0" customHeight="1">
      <c r="A1" s="4" t="s">
        <v>70</v>
      </c>
      <c r="B1" s="4" t="s">
        <v>433</v>
      </c>
      <c r="C1" s="4" t="s">
        <v>434</v>
      </c>
      <c r="D1" s="4" t="s">
        <v>435</v>
      </c>
      <c r="E1" s="4" t="s">
        <v>436</v>
      </c>
      <c r="F1" s="4" t="s">
        <v>75</v>
      </c>
      <c r="G1" s="4" t="s">
        <v>76</v>
      </c>
      <c r="H1" s="4" t="s">
        <v>77</v>
      </c>
      <c r="I1" s="4" t="s">
        <v>78</v>
      </c>
      <c r="J1" s="4" t="s">
        <v>79</v>
      </c>
      <c r="K1" s="4" t="s">
        <v>80</v>
      </c>
      <c r="L1" s="4" t="s">
        <v>437</v>
      </c>
      <c r="M1" s="4" t="s">
        <v>82</v>
      </c>
      <c r="N1" s="4" t="s">
        <v>83</v>
      </c>
    </row>
    <row r="2" ht="57.75" customHeight="1">
      <c r="A2" s="5" t="s">
        <v>438</v>
      </c>
      <c r="B2" s="5" t="s">
        <v>439</v>
      </c>
      <c r="C2" s="5" t="s">
        <v>440</v>
      </c>
      <c r="D2" s="5" t="s">
        <v>19</v>
      </c>
      <c r="E2" s="5" t="s">
        <v>441</v>
      </c>
      <c r="F2" s="5" t="s">
        <v>442</v>
      </c>
      <c r="G2" s="11" t="s">
        <v>419</v>
      </c>
      <c r="H2" s="11" t="s">
        <v>43</v>
      </c>
      <c r="I2" s="11"/>
      <c r="J2" s="25">
        <v>46244.0</v>
      </c>
      <c r="K2" s="11" t="s">
        <v>247</v>
      </c>
      <c r="L2" s="5" t="s">
        <v>15</v>
      </c>
      <c r="M2" s="5" t="s">
        <v>443</v>
      </c>
      <c r="N2" s="5" t="s">
        <v>67</v>
      </c>
    </row>
    <row r="3" ht="30.75" customHeight="1">
      <c r="A3" s="5" t="s">
        <v>444</v>
      </c>
      <c r="B3" s="5" t="s">
        <v>445</v>
      </c>
      <c r="C3" s="5" t="s">
        <v>440</v>
      </c>
      <c r="D3" s="5" t="s">
        <v>446</v>
      </c>
      <c r="E3" s="5" t="s">
        <v>441</v>
      </c>
      <c r="F3" s="5" t="s">
        <v>442</v>
      </c>
      <c r="G3" s="11" t="s">
        <v>419</v>
      </c>
      <c r="H3" s="11" t="s">
        <v>43</v>
      </c>
      <c r="I3" s="11"/>
      <c r="J3" s="25">
        <v>46244.0</v>
      </c>
      <c r="K3" s="11" t="s">
        <v>247</v>
      </c>
      <c r="L3" s="5" t="s">
        <v>15</v>
      </c>
      <c r="M3" s="5" t="s">
        <v>447</v>
      </c>
      <c r="N3" s="5" t="s">
        <v>67</v>
      </c>
    </row>
    <row r="4" ht="30.75" customHeight="1">
      <c r="A4" s="5" t="s">
        <v>448</v>
      </c>
      <c r="B4" s="5" t="s">
        <v>449</v>
      </c>
      <c r="C4" s="5" t="s">
        <v>440</v>
      </c>
      <c r="D4" s="5" t="s">
        <v>34</v>
      </c>
      <c r="E4" s="5" t="s">
        <v>441</v>
      </c>
      <c r="F4" s="5" t="s">
        <v>442</v>
      </c>
      <c r="G4" s="11" t="s">
        <v>419</v>
      </c>
      <c r="H4" s="11" t="s">
        <v>43</v>
      </c>
      <c r="I4" s="11"/>
      <c r="J4" s="25">
        <v>46244.0</v>
      </c>
      <c r="K4" s="11" t="s">
        <v>247</v>
      </c>
      <c r="L4" s="5" t="s">
        <v>15</v>
      </c>
      <c r="M4" s="5" t="s">
        <v>447</v>
      </c>
      <c r="N4" s="5" t="s">
        <v>67</v>
      </c>
    </row>
    <row r="5" ht="30.75" customHeight="1">
      <c r="A5" s="5" t="s">
        <v>450</v>
      </c>
      <c r="B5" s="5" t="s">
        <v>451</v>
      </c>
      <c r="C5" s="5" t="s">
        <v>452</v>
      </c>
      <c r="D5" s="5" t="s">
        <v>22</v>
      </c>
      <c r="E5" s="5" t="s">
        <v>453</v>
      </c>
      <c r="F5" s="5" t="s">
        <v>454</v>
      </c>
      <c r="G5" s="11" t="s">
        <v>419</v>
      </c>
      <c r="H5" s="11" t="s">
        <v>43</v>
      </c>
      <c r="I5" s="11" t="s">
        <v>455</v>
      </c>
      <c r="J5" s="25">
        <v>46244.0</v>
      </c>
      <c r="K5" s="11" t="s">
        <v>247</v>
      </c>
      <c r="L5" s="5" t="s">
        <v>15</v>
      </c>
      <c r="M5" s="5" t="s">
        <v>456</v>
      </c>
      <c r="N5" s="5" t="s">
        <v>67</v>
      </c>
    </row>
    <row r="6" ht="58.0" customHeight="1">
      <c r="A6" s="5" t="s">
        <v>457</v>
      </c>
      <c r="B6" s="5" t="s">
        <v>458</v>
      </c>
      <c r="C6" s="5" t="s">
        <v>459</v>
      </c>
      <c r="D6" s="5" t="s">
        <v>446</v>
      </c>
      <c r="E6" s="5" t="s">
        <v>453</v>
      </c>
      <c r="F6" s="5" t="s">
        <v>460</v>
      </c>
      <c r="G6" s="12" t="s">
        <v>461</v>
      </c>
      <c r="H6" s="12" t="s">
        <v>44</v>
      </c>
      <c r="I6" s="12" t="s">
        <v>461</v>
      </c>
      <c r="J6" s="25"/>
      <c r="K6" s="11"/>
      <c r="L6" s="5" t="s">
        <v>15</v>
      </c>
      <c r="M6" s="5" t="inlineStr">
        <is>
          <t xml:space="preserve">Ronde 2 (9 Okt): Bukan bug: Guest House Kenanga, Cafe Kopi Senja, dan Warung Steak Jaya adalah WP tapping box (tanpa akun aplikasi). Uji lewat akun bapenda@egzy.test di menu Pengawasan PBJT (pilih masa September 2026).</t>
        </is>
      </c>
      <c r="N6" s="5" t="inlineStr">
        <is>
          <t xml:space="preserve">Tidak ada perubahan</t>
        </is>
      </c>
    </row>
    <row r="7" ht="58.0" customHeight="1">
      <c r="A7" s="5" t="s">
        <v>462</v>
      </c>
      <c r="B7" s="5" t="s">
        <v>463</v>
      </c>
      <c r="C7" s="5" t="s">
        <v>464</v>
      </c>
      <c r="D7" s="5" t="s">
        <v>446</v>
      </c>
      <c r="E7" s="5" t="s">
        <v>465</v>
      </c>
      <c r="F7" s="5" t="s">
        <v>466</v>
      </c>
      <c r="G7" s="12" t="s">
        <v>461</v>
      </c>
      <c r="H7" s="12" t="s">
        <v>44</v>
      </c>
      <c r="I7" s="12" t="s">
        <v>461</v>
      </c>
      <c r="J7" s="25"/>
      <c r="K7" s="11"/>
      <c r="L7" s="5" t="s">
        <v>15</v>
      </c>
      <c r="M7" s="5" t="inlineStr">
        <is>
          <t xml:space="preserve">Ronde 2 (9 Okt): Bukan bug: Guest House Kenanga, Cafe Kopi Senja, dan Warung Steak Jaya adalah WP tapping box (tanpa akun aplikasi). Uji lewat akun bapenda@egzy.test di menu Pengawasan PBJT (pilih masa September 2026).</t>
        </is>
      </c>
      <c r="N7" s="5" t="inlineStr">
        <is>
          <t xml:space="preserve">Tidak ada perubahan</t>
        </is>
      </c>
    </row>
    <row r="8" ht="58.0" customHeight="1">
      <c r="A8" s="5" t="s">
        <v>467</v>
      </c>
      <c r="B8" s="5" t="s">
        <v>468</v>
      </c>
      <c r="C8" s="5" t="s">
        <v>469</v>
      </c>
      <c r="D8" s="5" t="s">
        <v>446</v>
      </c>
      <c r="E8" s="5" t="s">
        <v>470</v>
      </c>
      <c r="F8" s="5" t="s">
        <v>471</v>
      </c>
      <c r="G8" s="12" t="s">
        <v>461</v>
      </c>
      <c r="H8" s="12" t="s">
        <v>44</v>
      </c>
      <c r="I8" s="12" t="s">
        <v>461</v>
      </c>
      <c r="J8" s="25"/>
      <c r="K8" s="11"/>
      <c r="L8" s="5" t="s">
        <v>15</v>
      </c>
      <c r="M8" s="5" t="inlineStr">
        <is>
          <t xml:space="preserve">Ronde 2 (9 Okt): Bukan bug: Guest House Kenanga, Cafe Kopi Senja, dan Warung Steak Jaya adalah WP tapping box (tanpa akun aplikasi). Uji lewat akun bapenda@egzy.test di menu Pengawasan PBJT (pilih masa September 2026).</t>
        </is>
      </c>
      <c r="N8" s="5" t="inlineStr">
        <is>
          <t xml:space="preserve">Tidak ada perubahan</t>
        </is>
      </c>
    </row>
    <row r="9" ht="84.75" customHeight="1">
      <c r="A9" s="5" t="s">
        <v>472</v>
      </c>
      <c r="B9" s="5" t="s">
        <v>473</v>
      </c>
      <c r="C9" s="5" t="s">
        <v>474</v>
      </c>
      <c r="D9" s="5" t="s">
        <v>28</v>
      </c>
      <c r="E9" s="5" t="s">
        <v>475</v>
      </c>
      <c r="F9" s="5" t="s">
        <v>476</v>
      </c>
      <c r="G9" s="11" t="s">
        <v>419</v>
      </c>
      <c r="H9" s="11" t="s">
        <v>43</v>
      </c>
      <c r="I9" s="11" t="s">
        <v>477</v>
      </c>
      <c r="J9" s="25">
        <v>46244.0</v>
      </c>
      <c r="K9" s="11" t="s">
        <v>247</v>
      </c>
      <c r="L9" s="5" t="s">
        <v>15</v>
      </c>
      <c r="M9" s="5" t="s">
        <v>478</v>
      </c>
      <c r="N9" s="5" t="s">
        <v>67</v>
      </c>
    </row>
    <row r="10" ht="23.25" customHeight="1">
      <c r="A10" s="5" t="s">
        <v>479</v>
      </c>
      <c r="B10" s="5" t="s">
        <v>480</v>
      </c>
      <c r="C10" s="5" t="s">
        <v>481</v>
      </c>
      <c r="D10" s="5" t="s">
        <v>25</v>
      </c>
      <c r="E10" s="5" t="s">
        <v>482</v>
      </c>
      <c r="F10" s="5" t="s">
        <v>483</v>
      </c>
      <c r="G10" s="11" t="s">
        <v>419</v>
      </c>
      <c r="H10" s="11" t="s">
        <v>43</v>
      </c>
      <c r="I10" s="11"/>
      <c r="J10" s="25">
        <v>46244.0</v>
      </c>
      <c r="K10" s="11" t="s">
        <v>247</v>
      </c>
      <c r="L10" s="5" t="s">
        <v>484</v>
      </c>
      <c r="M10" s="5" t="s">
        <v>107</v>
      </c>
      <c r="N10" s="5" t="s">
        <v>69</v>
      </c>
    </row>
    <row r="11" ht="44.25" customHeight="1">
      <c r="A11" s="5" t="s">
        <v>485</v>
      </c>
      <c r="B11" s="5" t="s">
        <v>486</v>
      </c>
      <c r="C11" s="5" t="s">
        <v>487</v>
      </c>
      <c r="D11" s="5" t="s">
        <v>31</v>
      </c>
      <c r="E11" s="5" t="s">
        <v>488</v>
      </c>
      <c r="F11" s="5" t="s">
        <v>489</v>
      </c>
      <c r="G11" s="11" t="s">
        <v>490</v>
      </c>
      <c r="H11" s="12" t="s">
        <v>43</v>
      </c>
      <c r="I11" s="14" t="s">
        <v>491</v>
      </c>
      <c r="J11" s="25">
        <v>46244.0</v>
      </c>
      <c r="K11" s="11" t="s">
        <v>247</v>
      </c>
      <c r="L11" s="5" t="s">
        <v>492</v>
      </c>
      <c r="M11" s="5" t="s">
        <v>493</v>
      </c>
      <c r="N11" s="5" t="s">
        <v>67</v>
      </c>
    </row>
    <row r="12" ht="57.75" customHeight="1">
      <c r="A12" s="5" t="s">
        <v>494</v>
      </c>
      <c r="B12" s="5" t="s">
        <v>449</v>
      </c>
      <c r="C12" s="5" t="s">
        <v>495</v>
      </c>
      <c r="D12" s="5" t="s">
        <v>34</v>
      </c>
      <c r="E12" s="5" t="s">
        <v>496</v>
      </c>
      <c r="F12" s="5" t="s">
        <v>497</v>
      </c>
      <c r="G12" s="11" t="s">
        <v>498</v>
      </c>
      <c r="H12" s="11" t="s">
        <v>44</v>
      </c>
      <c r="I12" s="14" t="s">
        <v>499</v>
      </c>
      <c r="J12" s="25">
        <v>46244.0</v>
      </c>
      <c r="K12" s="11" t="s">
        <v>92</v>
      </c>
      <c r="L12" s="5" t="s">
        <v>500</v>
      </c>
      <c r="M12" s="5" t="s">
        <v>501</v>
      </c>
      <c r="N12" s="5" t="s">
        <v>67</v>
      </c>
    </row>
    <row r="13" ht="14.25" customHeight="1">
      <c r="A13" s="2"/>
      <c r="B13" s="2"/>
      <c r="C13" s="2"/>
      <c r="D13" s="2"/>
      <c r="E13" s="2"/>
      <c r="F13" s="2"/>
      <c r="G13" s="2"/>
      <c r="H13" s="2"/>
      <c r="I13" s="2"/>
      <c r="J13" s="2"/>
      <c r="K13" s="2"/>
    </row>
    <row r="14" ht="15.0" customHeight="1">
      <c r="A14" s="6" t="s">
        <v>502</v>
      </c>
      <c r="B14" s="2"/>
      <c r="C14" s="2"/>
      <c r="D14" s="2"/>
      <c r="E14" s="2"/>
      <c r="F14" s="2"/>
      <c r="G14" s="2"/>
      <c r="H14" s="2"/>
      <c r="I14" s="2"/>
      <c r="J14" s="2"/>
      <c r="K14" s="2"/>
    </row>
    <row r="15" ht="15.0" customHeight="1">
      <c r="A15" s="6" t="s">
        <v>503</v>
      </c>
      <c r="B15" s="2"/>
      <c r="C15" s="2"/>
      <c r="D15" s="2"/>
      <c r="E15" s="2"/>
      <c r="F15" s="2"/>
      <c r="G15" s="2"/>
      <c r="H15" s="2"/>
      <c r="I15" s="2"/>
      <c r="J15" s="2"/>
      <c r="K15" s="2"/>
    </row>
    <row r="16" ht="15.0" customHeight="1">
      <c r="A16" s="6" t="s">
        <v>504</v>
      </c>
      <c r="B16" s="2"/>
      <c r="C16" s="2"/>
      <c r="D16" s="2"/>
      <c r="E16" s="2"/>
      <c r="F16" s="2"/>
      <c r="G16" s="2"/>
      <c r="H16" s="2"/>
      <c r="I16" s="2"/>
      <c r="J16" s="2"/>
      <c r="K16" s="2"/>
    </row>
    <row r="17" ht="14.25" customHeight="1">
      <c r="A17" s="2"/>
      <c r="B17" s="2"/>
      <c r="C17" s="2"/>
      <c r="D17" s="2"/>
      <c r="E17" s="2"/>
      <c r="F17" s="2"/>
      <c r="G17" s="2"/>
      <c r="H17" s="2"/>
      <c r="I17" s="2"/>
      <c r="J17" s="2"/>
      <c r="K17" s="2"/>
    </row>
    <row r="18" ht="14.25" customHeight="1">
      <c r="A18" s="2"/>
      <c r="B18" s="2"/>
      <c r="C18" s="2"/>
      <c r="D18" s="2"/>
      <c r="E18" s="2"/>
      <c r="F18" s="2"/>
      <c r="G18" s="2"/>
      <c r="H18" s="2"/>
      <c r="I18" s="2"/>
      <c r="J18" s="2"/>
      <c r="K18" s="2"/>
    </row>
    <row r="19" ht="14.25" customHeight="1">
      <c r="A19" s="2"/>
      <c r="B19" s="2"/>
      <c r="C19" s="2"/>
      <c r="D19" s="2"/>
      <c r="E19" s="2"/>
      <c r="F19" s="2"/>
      <c r="G19" s="2"/>
      <c r="H19" s="2"/>
      <c r="I19" s="2"/>
      <c r="J19" s="2"/>
      <c r="K19" s="2"/>
    </row>
    <row r="20" ht="14.25" customHeight="1">
      <c r="A20" s="2"/>
      <c r="B20" s="2"/>
      <c r="C20" s="2"/>
      <c r="D20" s="2"/>
      <c r="E20" s="2"/>
      <c r="F20" s="2"/>
      <c r="G20" s="2"/>
      <c r="H20" s="2"/>
      <c r="I20" s="2"/>
      <c r="J20" s="2"/>
      <c r="K20" s="2"/>
    </row>
    <row r="21" ht="14.25" customHeight="1">
      <c r="A21" s="2"/>
      <c r="B21" s="2"/>
      <c r="C21" s="2"/>
      <c r="D21" s="2"/>
      <c r="E21" s="2"/>
      <c r="F21" s="2"/>
      <c r="G21" s="2"/>
      <c r="H21" s="2"/>
      <c r="I21" s="2"/>
      <c r="J21" s="2"/>
      <c r="K21" s="2"/>
    </row>
    <row r="22" ht="14.25" customHeight="1">
      <c r="A22" s="2"/>
      <c r="B22" s="2"/>
      <c r="C22" s="2"/>
      <c r="D22" s="2"/>
      <c r="E22" s="2"/>
      <c r="F22" s="2"/>
      <c r="G22" s="2"/>
      <c r="H22" s="2"/>
      <c r="I22" s="2"/>
      <c r="J22" s="2"/>
      <c r="K22" s="2"/>
    </row>
    <row r="23" ht="14.25" customHeight="1">
      <c r="A23" s="2"/>
      <c r="B23" s="2"/>
      <c r="C23" s="2"/>
      <c r="D23" s="2"/>
      <c r="E23" s="2"/>
      <c r="F23" s="2"/>
      <c r="G23" s="2"/>
      <c r="H23" s="2"/>
      <c r="I23" s="2"/>
      <c r="J23" s="2"/>
      <c r="K23" s="2"/>
    </row>
    <row r="24" ht="14.25" customHeight="1">
      <c r="A24" s="2"/>
      <c r="B24" s="2"/>
      <c r="C24" s="2"/>
      <c r="D24" s="2"/>
      <c r="E24" s="2"/>
      <c r="F24" s="2"/>
      <c r="G24" s="2"/>
      <c r="H24" s="2"/>
      <c r="I24" s="2"/>
      <c r="J24" s="2"/>
      <c r="K24" s="2"/>
    </row>
    <row r="25" ht="14.25" customHeight="1">
      <c r="A25" s="2"/>
      <c r="B25" s="2"/>
      <c r="C25" s="2"/>
      <c r="D25" s="2"/>
      <c r="E25" s="2"/>
      <c r="F25" s="2"/>
      <c r="G25" s="2"/>
      <c r="H25" s="2"/>
      <c r="I25" s="2"/>
      <c r="J25" s="2"/>
      <c r="K25" s="2"/>
    </row>
    <row r="26" ht="14.25" customHeight="1">
      <c r="A26" s="2"/>
      <c r="B26" s="2"/>
      <c r="C26" s="2"/>
      <c r="D26" s="2"/>
      <c r="E26" s="2"/>
      <c r="F26" s="2"/>
      <c r="G26" s="2"/>
      <c r="H26" s="2"/>
      <c r="I26" s="2"/>
      <c r="J26" s="2"/>
      <c r="K26" s="2"/>
    </row>
    <row r="27" ht="14.25" customHeight="1">
      <c r="A27" s="2"/>
      <c r="B27" s="2"/>
      <c r="C27" s="2"/>
      <c r="D27" s="2"/>
      <c r="E27" s="2"/>
      <c r="F27" s="2"/>
      <c r="G27" s="2"/>
      <c r="H27" s="2"/>
      <c r="I27" s="2"/>
      <c r="J27" s="2"/>
      <c r="K27" s="2"/>
    </row>
    <row r="28" ht="14.25" customHeight="1">
      <c r="A28" s="2"/>
      <c r="B28" s="2"/>
      <c r="C28" s="2"/>
      <c r="D28" s="2"/>
      <c r="E28" s="2"/>
      <c r="F28" s="2"/>
      <c r="G28" s="2"/>
      <c r="H28" s="2"/>
      <c r="I28" s="2"/>
      <c r="J28" s="2"/>
      <c r="K28" s="2"/>
    </row>
    <row r="29" ht="14.25" customHeight="1">
      <c r="A29" s="2"/>
      <c r="B29" s="2"/>
      <c r="C29" s="2"/>
      <c r="D29" s="2"/>
      <c r="E29" s="2"/>
      <c r="F29" s="2"/>
      <c r="G29" s="2"/>
      <c r="H29" s="2"/>
      <c r="I29" s="2"/>
      <c r="J29" s="2"/>
      <c r="K29" s="2"/>
    </row>
    <row r="30" ht="14.25" customHeight="1">
      <c r="A30" s="2"/>
      <c r="B30" s="2"/>
      <c r="C30" s="2"/>
      <c r="D30" s="2"/>
      <c r="E30" s="2"/>
      <c r="F30" s="2"/>
      <c r="G30" s="2"/>
      <c r="H30" s="2"/>
      <c r="I30" s="2"/>
      <c r="J30" s="2"/>
      <c r="K30" s="2"/>
    </row>
    <row r="31" ht="14.25" customHeight="1">
      <c r="A31" s="2"/>
      <c r="B31" s="2"/>
      <c r="C31" s="2"/>
      <c r="D31" s="2"/>
      <c r="E31" s="2"/>
      <c r="F31" s="2"/>
      <c r="G31" s="2"/>
      <c r="H31" s="2"/>
      <c r="I31" s="2"/>
      <c r="J31" s="2"/>
      <c r="K31" s="2"/>
    </row>
    <row r="32" ht="14.25" customHeight="1">
      <c r="A32" s="2"/>
      <c r="B32" s="2"/>
      <c r="C32" s="2"/>
      <c r="D32" s="2"/>
      <c r="E32" s="2"/>
      <c r="F32" s="2"/>
      <c r="G32" s="2"/>
      <c r="H32" s="2"/>
      <c r="I32" s="2"/>
      <c r="J32" s="2"/>
      <c r="K32" s="2"/>
    </row>
    <row r="33" ht="14.25" customHeight="1">
      <c r="A33" s="2"/>
      <c r="B33" s="2"/>
      <c r="C33" s="2"/>
      <c r="D33" s="2"/>
      <c r="E33" s="2"/>
      <c r="F33" s="2"/>
      <c r="G33" s="2"/>
      <c r="H33" s="2"/>
      <c r="I33" s="2"/>
      <c r="J33" s="2"/>
      <c r="K33" s="2"/>
    </row>
    <row r="34" ht="14.25" customHeight="1">
      <c r="A34" s="2"/>
      <c r="B34" s="2"/>
      <c r="C34" s="2"/>
      <c r="D34" s="2"/>
      <c r="E34" s="2"/>
      <c r="F34" s="2"/>
      <c r="G34" s="2"/>
      <c r="H34" s="2"/>
      <c r="I34" s="2"/>
      <c r="J34" s="2"/>
      <c r="K34" s="2"/>
    </row>
    <row r="35" ht="14.25" customHeight="1">
      <c r="A35" s="2"/>
      <c r="B35" s="2"/>
      <c r="C35" s="2"/>
      <c r="D35" s="2"/>
      <c r="E35" s="2"/>
      <c r="F35" s="2"/>
      <c r="G35" s="2"/>
      <c r="H35" s="2"/>
      <c r="I35" s="2"/>
      <c r="J35" s="2"/>
      <c r="K35" s="2"/>
    </row>
    <row r="36" ht="14.25" customHeight="1">
      <c r="A36" s="2"/>
      <c r="B36" s="2"/>
      <c r="C36" s="2"/>
      <c r="D36" s="2"/>
      <c r="E36" s="2"/>
      <c r="F36" s="2"/>
      <c r="G36" s="2"/>
      <c r="H36" s="2"/>
      <c r="I36" s="2"/>
      <c r="J36" s="2"/>
      <c r="K36" s="2"/>
    </row>
    <row r="37" ht="14.25" customHeight="1">
      <c r="A37" s="2"/>
      <c r="B37" s="2"/>
      <c r="C37" s="2"/>
      <c r="D37" s="2"/>
      <c r="E37" s="2"/>
      <c r="F37" s="2"/>
      <c r="G37" s="2"/>
      <c r="H37" s="2"/>
      <c r="I37" s="2"/>
      <c r="J37" s="2"/>
      <c r="K37" s="2"/>
    </row>
    <row r="38" ht="14.25" customHeight="1">
      <c r="A38" s="2"/>
      <c r="B38" s="2"/>
      <c r="C38" s="2"/>
      <c r="D38" s="2"/>
      <c r="E38" s="2"/>
      <c r="F38" s="2"/>
      <c r="G38" s="2"/>
      <c r="H38" s="2"/>
      <c r="I38" s="2"/>
      <c r="J38" s="2"/>
      <c r="K38" s="2"/>
    </row>
    <row r="39" ht="14.25" customHeight="1">
      <c r="A39" s="2"/>
      <c r="B39" s="2"/>
      <c r="C39" s="2"/>
      <c r="D39" s="2"/>
      <c r="E39" s="2"/>
      <c r="F39" s="2"/>
      <c r="G39" s="2"/>
      <c r="H39" s="2"/>
      <c r="I39" s="2"/>
      <c r="J39" s="2"/>
      <c r="K39" s="2"/>
    </row>
    <row r="40" ht="14.25" customHeight="1">
      <c r="A40" s="2"/>
      <c r="B40" s="2"/>
      <c r="C40" s="2"/>
      <c r="D40" s="2"/>
      <c r="E40" s="2"/>
      <c r="F40" s="2"/>
      <c r="G40" s="2"/>
      <c r="H40" s="2"/>
      <c r="I40" s="2"/>
      <c r="J40" s="2"/>
      <c r="K40" s="2"/>
    </row>
    <row r="41" ht="14.25" customHeight="1">
      <c r="A41" s="2"/>
      <c r="B41" s="2"/>
      <c r="C41" s="2"/>
      <c r="D41" s="2"/>
      <c r="E41" s="2"/>
      <c r="F41" s="2"/>
      <c r="G41" s="2"/>
      <c r="H41" s="2"/>
      <c r="I41" s="2"/>
      <c r="J41" s="2"/>
      <c r="K41" s="2"/>
    </row>
    <row r="42" ht="14.25" customHeight="1">
      <c r="A42" s="2"/>
      <c r="B42" s="2"/>
      <c r="C42" s="2"/>
      <c r="D42" s="2"/>
      <c r="E42" s="2"/>
      <c r="F42" s="2"/>
      <c r="G42" s="2"/>
      <c r="H42" s="2"/>
      <c r="I42" s="2"/>
      <c r="J42" s="2"/>
      <c r="K42" s="2"/>
    </row>
    <row r="43" ht="14.25" customHeight="1">
      <c r="A43" s="2"/>
      <c r="B43" s="2"/>
      <c r="C43" s="2"/>
      <c r="D43" s="2"/>
      <c r="E43" s="2"/>
      <c r="F43" s="2"/>
      <c r="G43" s="2"/>
      <c r="H43" s="2"/>
      <c r="I43" s="2"/>
      <c r="J43" s="2"/>
      <c r="K43" s="2"/>
    </row>
    <row r="44" ht="14.25" customHeight="1">
      <c r="A44" s="2"/>
      <c r="B44" s="2"/>
      <c r="C44" s="2"/>
      <c r="D44" s="2"/>
      <c r="E44" s="2"/>
      <c r="F44" s="2"/>
      <c r="G44" s="2"/>
      <c r="H44" s="2"/>
      <c r="I44" s="2"/>
      <c r="J44" s="2"/>
      <c r="K44" s="2"/>
    </row>
    <row r="45" ht="14.25" customHeight="1">
      <c r="A45" s="2"/>
      <c r="B45" s="2"/>
      <c r="C45" s="2"/>
      <c r="D45" s="2"/>
      <c r="E45" s="2"/>
      <c r="F45" s="2"/>
      <c r="G45" s="2"/>
      <c r="H45" s="2"/>
      <c r="I45" s="2"/>
      <c r="J45" s="2"/>
      <c r="K45" s="2"/>
    </row>
    <row r="46" ht="14.25" customHeight="1">
      <c r="A46" s="2"/>
      <c r="B46" s="2"/>
      <c r="C46" s="2"/>
      <c r="D46" s="2"/>
      <c r="E46" s="2"/>
      <c r="F46" s="2"/>
      <c r="G46" s="2"/>
      <c r="H46" s="2"/>
      <c r="I46" s="2"/>
      <c r="J46" s="2"/>
      <c r="K46" s="2"/>
    </row>
    <row r="47" ht="14.25" customHeight="1">
      <c r="A47" s="2"/>
      <c r="B47" s="2"/>
      <c r="C47" s="2"/>
      <c r="D47" s="2"/>
      <c r="E47" s="2"/>
      <c r="F47" s="2"/>
      <c r="G47" s="2"/>
      <c r="H47" s="2"/>
      <c r="I47" s="2"/>
      <c r="J47" s="2"/>
      <c r="K47" s="2"/>
    </row>
    <row r="48" ht="14.25" customHeight="1">
      <c r="A48" s="2"/>
      <c r="B48" s="2"/>
      <c r="C48" s="2"/>
      <c r="D48" s="2"/>
      <c r="E48" s="2"/>
      <c r="F48" s="2"/>
      <c r="G48" s="2"/>
      <c r="H48" s="2"/>
      <c r="I48" s="2"/>
      <c r="J48" s="2"/>
      <c r="K48" s="2"/>
    </row>
    <row r="49" ht="14.25" customHeight="1">
      <c r="A49" s="2"/>
      <c r="B49" s="2"/>
      <c r="C49" s="2"/>
      <c r="D49" s="2"/>
      <c r="E49" s="2"/>
      <c r="F49" s="2"/>
      <c r="G49" s="2"/>
      <c r="H49" s="2"/>
      <c r="I49" s="2"/>
      <c r="J49" s="2"/>
      <c r="K49" s="2"/>
    </row>
    <row r="50" ht="14.25" customHeight="1">
      <c r="A50" s="2"/>
      <c r="B50" s="2"/>
      <c r="C50" s="2"/>
      <c r="D50" s="2"/>
      <c r="E50" s="2"/>
      <c r="F50" s="2"/>
      <c r="G50" s="2"/>
      <c r="H50" s="2"/>
      <c r="I50" s="2"/>
      <c r="J50" s="2"/>
      <c r="K50" s="2"/>
    </row>
    <row r="51" ht="14.25" customHeight="1">
      <c r="A51" s="2"/>
      <c r="B51" s="2"/>
      <c r="C51" s="2"/>
      <c r="D51" s="2"/>
      <c r="E51" s="2"/>
      <c r="F51" s="2"/>
      <c r="G51" s="2"/>
      <c r="H51" s="2"/>
      <c r="I51" s="2"/>
      <c r="J51" s="2"/>
      <c r="K51" s="2"/>
    </row>
    <row r="52" ht="14.25" customHeight="1">
      <c r="A52" s="2"/>
      <c r="B52" s="2"/>
      <c r="C52" s="2"/>
      <c r="D52" s="2"/>
      <c r="E52" s="2"/>
      <c r="F52" s="2"/>
      <c r="G52" s="2"/>
      <c r="H52" s="2"/>
      <c r="I52" s="2"/>
      <c r="J52" s="2"/>
      <c r="K52" s="2"/>
    </row>
    <row r="53" ht="14.25" customHeight="1">
      <c r="A53" s="2"/>
      <c r="B53" s="2"/>
      <c r="C53" s="2"/>
      <c r="D53" s="2"/>
      <c r="E53" s="2"/>
      <c r="F53" s="2"/>
      <c r="G53" s="2"/>
      <c r="H53" s="2"/>
      <c r="I53" s="2"/>
      <c r="J53" s="2"/>
      <c r="K53" s="2"/>
    </row>
    <row r="54" ht="14.25" customHeight="1">
      <c r="A54" s="2"/>
      <c r="B54" s="2"/>
      <c r="C54" s="2"/>
      <c r="D54" s="2"/>
      <c r="E54" s="2"/>
      <c r="F54" s="2"/>
      <c r="G54" s="2"/>
      <c r="H54" s="2"/>
      <c r="I54" s="2"/>
      <c r="J54" s="2"/>
      <c r="K54" s="2"/>
    </row>
    <row r="55" ht="14.25" customHeight="1">
      <c r="A55" s="2"/>
      <c r="B55" s="2"/>
      <c r="C55" s="2"/>
      <c r="D55" s="2"/>
      <c r="E55" s="2"/>
      <c r="F55" s="2"/>
      <c r="G55" s="2"/>
      <c r="H55" s="2"/>
      <c r="I55" s="2"/>
      <c r="J55" s="2"/>
      <c r="K55" s="2"/>
    </row>
    <row r="56" ht="14.25" customHeight="1">
      <c r="A56" s="2"/>
      <c r="B56" s="2"/>
      <c r="C56" s="2"/>
      <c r="D56" s="2"/>
      <c r="E56" s="2"/>
      <c r="F56" s="2"/>
      <c r="G56" s="2"/>
      <c r="H56" s="2"/>
      <c r="I56" s="2"/>
      <c r="J56" s="2"/>
      <c r="K56" s="2"/>
    </row>
    <row r="57" ht="14.25" customHeight="1">
      <c r="A57" s="2"/>
      <c r="B57" s="2"/>
      <c r="C57" s="2"/>
      <c r="D57" s="2"/>
      <c r="E57" s="2"/>
      <c r="F57" s="2"/>
      <c r="G57" s="2"/>
      <c r="H57" s="2"/>
      <c r="I57" s="2"/>
      <c r="J57" s="2"/>
      <c r="K57" s="2"/>
    </row>
    <row r="58" ht="14.25" customHeight="1">
      <c r="A58" s="2"/>
      <c r="B58" s="2"/>
      <c r="C58" s="2"/>
      <c r="D58" s="2"/>
      <c r="E58" s="2"/>
      <c r="F58" s="2"/>
      <c r="G58" s="2"/>
      <c r="H58" s="2"/>
      <c r="I58" s="2"/>
      <c r="J58" s="2"/>
      <c r="K58" s="2"/>
    </row>
    <row r="59" ht="14.25" customHeight="1">
      <c r="A59" s="2"/>
      <c r="B59" s="2"/>
      <c r="C59" s="2"/>
      <c r="D59" s="2"/>
      <c r="E59" s="2"/>
      <c r="F59" s="2"/>
      <c r="G59" s="2"/>
      <c r="H59" s="2"/>
      <c r="I59" s="2"/>
      <c r="J59" s="2"/>
      <c r="K59" s="2"/>
    </row>
    <row r="60" ht="14.25" customHeight="1">
      <c r="A60" s="2"/>
      <c r="B60" s="2"/>
      <c r="C60" s="2"/>
      <c r="D60" s="2"/>
      <c r="E60" s="2"/>
      <c r="F60" s="2"/>
      <c r="G60" s="2"/>
      <c r="H60" s="2"/>
      <c r="I60" s="2"/>
      <c r="J60" s="2"/>
      <c r="K60" s="2"/>
    </row>
    <row r="61" ht="14.25" customHeight="1">
      <c r="A61" s="2"/>
      <c r="B61" s="2"/>
      <c r="C61" s="2"/>
      <c r="D61" s="2"/>
      <c r="E61" s="2"/>
      <c r="F61" s="2"/>
      <c r="G61" s="2"/>
      <c r="H61" s="2"/>
      <c r="I61" s="2"/>
      <c r="J61" s="2"/>
      <c r="K61" s="2"/>
    </row>
    <row r="62" ht="14.25" customHeight="1">
      <c r="A62" s="2"/>
      <c r="B62" s="2"/>
      <c r="C62" s="2"/>
      <c r="D62" s="2"/>
      <c r="E62" s="2"/>
      <c r="F62" s="2"/>
      <c r="G62" s="2"/>
      <c r="H62" s="2"/>
      <c r="I62" s="2"/>
      <c r="J62" s="2"/>
      <c r="K62" s="2"/>
    </row>
    <row r="63" ht="14.25" customHeight="1">
      <c r="A63" s="2"/>
      <c r="B63" s="2"/>
      <c r="C63" s="2"/>
      <c r="D63" s="2"/>
      <c r="E63" s="2"/>
      <c r="F63" s="2"/>
      <c r="G63" s="2"/>
      <c r="H63" s="2"/>
      <c r="I63" s="2"/>
      <c r="J63" s="2"/>
      <c r="K63" s="2"/>
    </row>
    <row r="64" ht="14.25" customHeight="1">
      <c r="A64" s="2"/>
      <c r="B64" s="2"/>
      <c r="C64" s="2"/>
      <c r="D64" s="2"/>
      <c r="E64" s="2"/>
      <c r="F64" s="2"/>
      <c r="G64" s="2"/>
      <c r="H64" s="2"/>
      <c r="I64" s="2"/>
      <c r="J64" s="2"/>
      <c r="K64" s="2"/>
    </row>
    <row r="65" ht="14.25" customHeight="1">
      <c r="A65" s="2"/>
      <c r="B65" s="2"/>
      <c r="C65" s="2"/>
      <c r="D65" s="2"/>
      <c r="E65" s="2"/>
      <c r="F65" s="2"/>
      <c r="G65" s="2"/>
      <c r="H65" s="2"/>
      <c r="I65" s="2"/>
      <c r="J65" s="2"/>
      <c r="K65" s="2"/>
    </row>
    <row r="66" ht="14.25" customHeight="1">
      <c r="A66" s="2"/>
      <c r="B66" s="2"/>
      <c r="C66" s="2"/>
      <c r="D66" s="2"/>
      <c r="E66" s="2"/>
      <c r="F66" s="2"/>
      <c r="G66" s="2"/>
      <c r="H66" s="2"/>
      <c r="I66" s="2"/>
      <c r="J66" s="2"/>
      <c r="K66" s="2"/>
    </row>
    <row r="67" ht="14.25" customHeight="1">
      <c r="A67" s="2"/>
      <c r="B67" s="2"/>
      <c r="C67" s="2"/>
      <c r="D67" s="2"/>
      <c r="E67" s="2"/>
      <c r="F67" s="2"/>
      <c r="G67" s="2"/>
      <c r="H67" s="2"/>
      <c r="I67" s="2"/>
      <c r="J67" s="2"/>
      <c r="K67" s="2"/>
    </row>
    <row r="68" ht="14.25" customHeight="1">
      <c r="A68" s="2"/>
      <c r="B68" s="2"/>
      <c r="C68" s="2"/>
      <c r="D68" s="2"/>
      <c r="E68" s="2"/>
      <c r="F68" s="2"/>
      <c r="G68" s="2"/>
      <c r="H68" s="2"/>
      <c r="I68" s="2"/>
      <c r="J68" s="2"/>
      <c r="K68" s="2"/>
    </row>
    <row r="69" ht="14.25" customHeight="1">
      <c r="A69" s="2"/>
      <c r="B69" s="2"/>
      <c r="C69" s="2"/>
      <c r="D69" s="2"/>
      <c r="E69" s="2"/>
      <c r="F69" s="2"/>
      <c r="G69" s="2"/>
      <c r="H69" s="2"/>
      <c r="I69" s="2"/>
      <c r="J69" s="2"/>
      <c r="K69" s="2"/>
    </row>
    <row r="70" ht="14.25" customHeight="1">
      <c r="A70" s="2"/>
      <c r="B70" s="2"/>
      <c r="C70" s="2"/>
      <c r="D70" s="2"/>
      <c r="E70" s="2"/>
      <c r="F70" s="2"/>
      <c r="G70" s="2"/>
      <c r="H70" s="2"/>
      <c r="I70" s="2"/>
      <c r="J70" s="2"/>
      <c r="K70" s="2"/>
    </row>
    <row r="71" ht="14.25" customHeight="1">
      <c r="A71" s="2"/>
      <c r="B71" s="2"/>
      <c r="C71" s="2"/>
      <c r="D71" s="2"/>
      <c r="E71" s="2"/>
      <c r="F71" s="2"/>
      <c r="G71" s="2"/>
      <c r="H71" s="2"/>
      <c r="I71" s="2"/>
      <c r="J71" s="2"/>
      <c r="K71" s="2"/>
    </row>
    <row r="72" ht="14.25" customHeight="1">
      <c r="A72" s="2"/>
      <c r="B72" s="2"/>
      <c r="C72" s="2"/>
      <c r="D72" s="2"/>
      <c r="E72" s="2"/>
      <c r="F72" s="2"/>
      <c r="G72" s="2"/>
      <c r="H72" s="2"/>
      <c r="I72" s="2"/>
      <c r="J72" s="2"/>
      <c r="K72" s="2"/>
    </row>
    <row r="73" ht="14.25" customHeight="1">
      <c r="A73" s="2"/>
      <c r="B73" s="2"/>
      <c r="C73" s="2"/>
      <c r="D73" s="2"/>
      <c r="E73" s="2"/>
      <c r="F73" s="2"/>
      <c r="G73" s="2"/>
      <c r="H73" s="2"/>
      <c r="I73" s="2"/>
      <c r="J73" s="2"/>
      <c r="K73" s="2"/>
    </row>
    <row r="74" ht="14.25" customHeight="1">
      <c r="A74" s="2"/>
      <c r="B74" s="2"/>
      <c r="C74" s="2"/>
      <c r="D74" s="2"/>
      <c r="E74" s="2"/>
      <c r="F74" s="2"/>
      <c r="G74" s="2"/>
      <c r="H74" s="2"/>
      <c r="I74" s="2"/>
      <c r="J74" s="2"/>
      <c r="K74" s="2"/>
    </row>
    <row r="75" ht="14.25" customHeight="1">
      <c r="A75" s="2"/>
      <c r="B75" s="2"/>
      <c r="C75" s="2"/>
      <c r="D75" s="2"/>
      <c r="E75" s="2"/>
      <c r="F75" s="2"/>
      <c r="G75" s="2"/>
      <c r="H75" s="2"/>
      <c r="I75" s="2"/>
      <c r="J75" s="2"/>
      <c r="K75" s="2"/>
    </row>
    <row r="76" ht="14.25" customHeight="1">
      <c r="A76" s="2"/>
      <c r="B76" s="2"/>
      <c r="C76" s="2"/>
      <c r="D76" s="2"/>
      <c r="E76" s="2"/>
      <c r="F76" s="2"/>
      <c r="G76" s="2"/>
      <c r="H76" s="2"/>
      <c r="I76" s="2"/>
      <c r="J76" s="2"/>
      <c r="K76" s="2"/>
    </row>
    <row r="77" ht="14.25" customHeight="1">
      <c r="A77" s="2"/>
      <c r="B77" s="2"/>
      <c r="C77" s="2"/>
      <c r="D77" s="2"/>
      <c r="E77" s="2"/>
      <c r="F77" s="2"/>
      <c r="G77" s="2"/>
      <c r="H77" s="2"/>
      <c r="I77" s="2"/>
      <c r="J77" s="2"/>
      <c r="K77" s="2"/>
    </row>
    <row r="78" ht="14.25" customHeight="1">
      <c r="A78" s="2"/>
      <c r="B78" s="2"/>
      <c r="C78" s="2"/>
      <c r="D78" s="2"/>
      <c r="E78" s="2"/>
      <c r="F78" s="2"/>
      <c r="G78" s="2"/>
      <c r="H78" s="2"/>
      <c r="I78" s="2"/>
      <c r="J78" s="2"/>
      <c r="K78" s="2"/>
    </row>
    <row r="79" ht="14.25" customHeight="1">
      <c r="A79" s="2"/>
      <c r="B79" s="2"/>
      <c r="C79" s="2"/>
      <c r="D79" s="2"/>
      <c r="E79" s="2"/>
      <c r="F79" s="2"/>
      <c r="G79" s="2"/>
      <c r="H79" s="2"/>
      <c r="I79" s="2"/>
      <c r="J79" s="2"/>
      <c r="K79" s="2"/>
    </row>
    <row r="80" ht="14.25" customHeight="1">
      <c r="A80" s="2"/>
      <c r="B80" s="2"/>
      <c r="C80" s="2"/>
      <c r="D80" s="2"/>
      <c r="E80" s="2"/>
      <c r="F80" s="2"/>
      <c r="G80" s="2"/>
      <c r="H80" s="2"/>
      <c r="I80" s="2"/>
      <c r="J80" s="2"/>
      <c r="K80" s="2"/>
    </row>
    <row r="81" ht="14.25" customHeight="1">
      <c r="A81" s="2"/>
      <c r="B81" s="2"/>
      <c r="C81" s="2"/>
      <c r="D81" s="2"/>
      <c r="E81" s="2"/>
      <c r="F81" s="2"/>
      <c r="G81" s="2"/>
      <c r="H81" s="2"/>
      <c r="I81" s="2"/>
      <c r="J81" s="2"/>
      <c r="K81" s="2"/>
    </row>
    <row r="82" ht="14.25" customHeight="1">
      <c r="A82" s="2"/>
      <c r="B82" s="2"/>
      <c r="C82" s="2"/>
      <c r="D82" s="2"/>
      <c r="E82" s="2"/>
      <c r="F82" s="2"/>
      <c r="G82" s="2"/>
      <c r="H82" s="2"/>
      <c r="I82" s="2"/>
      <c r="J82" s="2"/>
      <c r="K82" s="2"/>
    </row>
    <row r="83" ht="14.25" customHeight="1">
      <c r="A83" s="2"/>
      <c r="B83" s="2"/>
      <c r="C83" s="2"/>
      <c r="D83" s="2"/>
      <c r="E83" s="2"/>
      <c r="F83" s="2"/>
      <c r="G83" s="2"/>
      <c r="H83" s="2"/>
      <c r="I83" s="2"/>
      <c r="J83" s="2"/>
      <c r="K83" s="2"/>
    </row>
    <row r="84" ht="14.25" customHeight="1">
      <c r="A84" s="2"/>
      <c r="B84" s="2"/>
      <c r="C84" s="2"/>
      <c r="D84" s="2"/>
      <c r="E84" s="2"/>
      <c r="F84" s="2"/>
      <c r="G84" s="2"/>
      <c r="H84" s="2"/>
      <c r="I84" s="2"/>
      <c r="J84" s="2"/>
      <c r="K84" s="2"/>
    </row>
    <row r="85" ht="14.25" customHeight="1">
      <c r="A85" s="2"/>
      <c r="B85" s="2"/>
      <c r="C85" s="2"/>
      <c r="D85" s="2"/>
      <c r="E85" s="2"/>
      <c r="F85" s="2"/>
      <c r="G85" s="2"/>
      <c r="H85" s="2"/>
      <c r="I85" s="2"/>
      <c r="J85" s="2"/>
      <c r="K85" s="2"/>
    </row>
    <row r="86" ht="14.25" customHeight="1">
      <c r="A86" s="2"/>
      <c r="B86" s="2"/>
      <c r="C86" s="2"/>
      <c r="D86" s="2"/>
      <c r="E86" s="2"/>
      <c r="F86" s="2"/>
      <c r="G86" s="2"/>
      <c r="H86" s="2"/>
      <c r="I86" s="2"/>
      <c r="J86" s="2"/>
      <c r="K86" s="2"/>
    </row>
    <row r="87" ht="14.25" customHeight="1">
      <c r="A87" s="2"/>
      <c r="B87" s="2"/>
      <c r="C87" s="2"/>
      <c r="D87" s="2"/>
      <c r="E87" s="2"/>
      <c r="F87" s="2"/>
      <c r="G87" s="2"/>
      <c r="H87" s="2"/>
      <c r="I87" s="2"/>
      <c r="J87" s="2"/>
      <c r="K87" s="2"/>
    </row>
    <row r="88" ht="14.25" customHeight="1">
      <c r="A88" s="2"/>
      <c r="B88" s="2"/>
      <c r="C88" s="2"/>
      <c r="D88" s="2"/>
      <c r="E88" s="2"/>
      <c r="F88" s="2"/>
      <c r="G88" s="2"/>
      <c r="H88" s="2"/>
      <c r="I88" s="2"/>
      <c r="J88" s="2"/>
      <c r="K88" s="2"/>
    </row>
    <row r="89" ht="14.25" customHeight="1">
      <c r="A89" s="2"/>
      <c r="B89" s="2"/>
      <c r="C89" s="2"/>
      <c r="D89" s="2"/>
      <c r="E89" s="2"/>
      <c r="F89" s="2"/>
      <c r="G89" s="2"/>
      <c r="H89" s="2"/>
      <c r="I89" s="2"/>
      <c r="J89" s="2"/>
      <c r="K89" s="2"/>
    </row>
    <row r="90" ht="14.25" customHeight="1">
      <c r="A90" s="2"/>
      <c r="B90" s="2"/>
      <c r="C90" s="2"/>
      <c r="D90" s="2"/>
      <c r="E90" s="2"/>
      <c r="F90" s="2"/>
      <c r="G90" s="2"/>
      <c r="H90" s="2"/>
      <c r="I90" s="2"/>
      <c r="J90" s="2"/>
      <c r="K90" s="2"/>
    </row>
    <row r="91" ht="14.25" customHeight="1">
      <c r="A91" s="2"/>
      <c r="B91" s="2"/>
      <c r="C91" s="2"/>
      <c r="D91" s="2"/>
      <c r="E91" s="2"/>
      <c r="F91" s="2"/>
      <c r="G91" s="2"/>
      <c r="H91" s="2"/>
      <c r="I91" s="2"/>
      <c r="J91" s="2"/>
      <c r="K91" s="2"/>
    </row>
    <row r="92" ht="14.25" customHeight="1">
      <c r="A92" s="2"/>
      <c r="B92" s="2"/>
      <c r="C92" s="2"/>
      <c r="D92" s="2"/>
      <c r="E92" s="2"/>
      <c r="F92" s="2"/>
      <c r="G92" s="2"/>
      <c r="H92" s="2"/>
      <c r="I92" s="2"/>
      <c r="J92" s="2"/>
      <c r="K92" s="2"/>
    </row>
    <row r="93" ht="14.25" customHeight="1">
      <c r="A93" s="2"/>
      <c r="B93" s="2"/>
      <c r="C93" s="2"/>
      <c r="D93" s="2"/>
      <c r="E93" s="2"/>
      <c r="F93" s="2"/>
      <c r="G93" s="2"/>
      <c r="H93" s="2"/>
      <c r="I93" s="2"/>
      <c r="J93" s="2"/>
      <c r="K93" s="2"/>
    </row>
    <row r="94" ht="14.25" customHeight="1">
      <c r="A94" s="2"/>
      <c r="B94" s="2"/>
      <c r="C94" s="2"/>
      <c r="D94" s="2"/>
      <c r="E94" s="2"/>
      <c r="F94" s="2"/>
      <c r="G94" s="2"/>
      <c r="H94" s="2"/>
      <c r="I94" s="2"/>
      <c r="J94" s="2"/>
      <c r="K94" s="2"/>
    </row>
    <row r="95" ht="14.25" customHeight="1">
      <c r="A95" s="2"/>
      <c r="B95" s="2"/>
      <c r="C95" s="2"/>
      <c r="D95" s="2"/>
      <c r="E95" s="2"/>
      <c r="F95" s="2"/>
      <c r="G95" s="2"/>
      <c r="H95" s="2"/>
      <c r="I95" s="2"/>
      <c r="J95" s="2"/>
      <c r="K95" s="2"/>
    </row>
    <row r="96" ht="14.25" customHeight="1">
      <c r="A96" s="2"/>
      <c r="B96" s="2"/>
      <c r="C96" s="2"/>
      <c r="D96" s="2"/>
      <c r="E96" s="2"/>
      <c r="F96" s="2"/>
      <c r="G96" s="2"/>
      <c r="H96" s="2"/>
      <c r="I96" s="2"/>
      <c r="J96" s="2"/>
      <c r="K96" s="2"/>
    </row>
    <row r="97" ht="14.25" customHeight="1">
      <c r="A97" s="2"/>
      <c r="B97" s="2"/>
      <c r="C97" s="2"/>
      <c r="D97" s="2"/>
      <c r="E97" s="2"/>
      <c r="F97" s="2"/>
      <c r="G97" s="2"/>
      <c r="H97" s="2"/>
      <c r="I97" s="2"/>
      <c r="J97" s="2"/>
      <c r="K97" s="2"/>
    </row>
    <row r="98" ht="14.25" customHeight="1">
      <c r="A98" s="2"/>
      <c r="B98" s="2"/>
      <c r="C98" s="2"/>
      <c r="D98" s="2"/>
      <c r="E98" s="2"/>
      <c r="F98" s="2"/>
      <c r="G98" s="2"/>
      <c r="H98" s="2"/>
      <c r="I98" s="2"/>
      <c r="J98" s="2"/>
      <c r="K98" s="2"/>
    </row>
    <row r="99" ht="14.25" customHeight="1">
      <c r="A99" s="2"/>
      <c r="B99" s="2"/>
      <c r="C99" s="2"/>
      <c r="D99" s="2"/>
      <c r="E99" s="2"/>
      <c r="F99" s="2"/>
      <c r="G99" s="2"/>
      <c r="H99" s="2"/>
      <c r="I99" s="2"/>
      <c r="J99" s="2"/>
      <c r="K99" s="2"/>
    </row>
    <row r="100" ht="14.25" customHeight="1">
      <c r="A100" s="2"/>
      <c r="B100" s="2"/>
      <c r="C100" s="2"/>
      <c r="D100" s="2"/>
      <c r="E100" s="2"/>
      <c r="F100" s="2"/>
      <c r="G100" s="2"/>
      <c r="H100" s="2"/>
      <c r="I100" s="2"/>
      <c r="J100" s="2"/>
      <c r="K100" s="2"/>
    </row>
    <row r="101" ht="14.25" customHeight="1">
      <c r="A101" s="2"/>
      <c r="B101" s="2"/>
      <c r="C101" s="2"/>
      <c r="D101" s="2"/>
      <c r="E101" s="2"/>
      <c r="F101" s="2"/>
      <c r="G101" s="2"/>
      <c r="H101" s="2"/>
      <c r="I101" s="2"/>
      <c r="J101" s="2"/>
      <c r="K101" s="2"/>
    </row>
    <row r="102" ht="14.25" customHeight="1">
      <c r="A102" s="2"/>
      <c r="B102" s="2"/>
      <c r="C102" s="2"/>
      <c r="D102" s="2"/>
      <c r="E102" s="2"/>
      <c r="F102" s="2"/>
      <c r="G102" s="2"/>
      <c r="H102" s="2"/>
      <c r="I102" s="2"/>
      <c r="J102" s="2"/>
      <c r="K102" s="2"/>
    </row>
    <row r="103" ht="14.25" customHeight="1">
      <c r="A103" s="2"/>
      <c r="B103" s="2"/>
      <c r="C103" s="2"/>
      <c r="D103" s="2"/>
      <c r="E103" s="2"/>
      <c r="F103" s="2"/>
      <c r="G103" s="2"/>
      <c r="H103" s="2"/>
      <c r="I103" s="2"/>
      <c r="J103" s="2"/>
      <c r="K103" s="2"/>
    </row>
    <row r="104" ht="14.25" customHeight="1">
      <c r="A104" s="2"/>
      <c r="B104" s="2"/>
      <c r="C104" s="2"/>
      <c r="D104" s="2"/>
      <c r="E104" s="2"/>
      <c r="F104" s="2"/>
      <c r="G104" s="2"/>
      <c r="H104" s="2"/>
      <c r="I104" s="2"/>
      <c r="J104" s="2"/>
      <c r="K104" s="2"/>
    </row>
    <row r="105" ht="14.25" customHeight="1">
      <c r="A105" s="2"/>
      <c r="B105" s="2"/>
      <c r="C105" s="2"/>
      <c r="D105" s="2"/>
      <c r="E105" s="2"/>
      <c r="F105" s="2"/>
      <c r="G105" s="2"/>
      <c r="H105" s="2"/>
      <c r="I105" s="2"/>
      <c r="J105" s="2"/>
      <c r="K105" s="2"/>
    </row>
    <row r="106" ht="14.25" customHeight="1">
      <c r="A106" s="2"/>
      <c r="B106" s="2"/>
      <c r="C106" s="2"/>
      <c r="D106" s="2"/>
      <c r="E106" s="2"/>
      <c r="F106" s="2"/>
      <c r="G106" s="2"/>
      <c r="H106" s="2"/>
      <c r="I106" s="2"/>
      <c r="J106" s="2"/>
      <c r="K106" s="2"/>
    </row>
    <row r="107" ht="14.25" customHeight="1">
      <c r="A107" s="2"/>
      <c r="B107" s="2"/>
      <c r="C107" s="2"/>
      <c r="D107" s="2"/>
      <c r="E107" s="2"/>
      <c r="F107" s="2"/>
      <c r="G107" s="2"/>
      <c r="H107" s="2"/>
      <c r="I107" s="2"/>
      <c r="J107" s="2"/>
      <c r="K107" s="2"/>
    </row>
    <row r="108" ht="14.25" customHeight="1">
      <c r="A108" s="2"/>
      <c r="B108" s="2"/>
      <c r="C108" s="2"/>
      <c r="D108" s="2"/>
      <c r="E108" s="2"/>
      <c r="F108" s="2"/>
      <c r="G108" s="2"/>
      <c r="H108" s="2"/>
      <c r="I108" s="2"/>
      <c r="J108" s="2"/>
      <c r="K108" s="2"/>
    </row>
    <row r="109" ht="14.25" customHeight="1">
      <c r="A109" s="2"/>
      <c r="B109" s="2"/>
      <c r="C109" s="2"/>
      <c r="D109" s="2"/>
      <c r="E109" s="2"/>
      <c r="F109" s="2"/>
      <c r="G109" s="2"/>
      <c r="H109" s="2"/>
      <c r="I109" s="2"/>
      <c r="J109" s="2"/>
      <c r="K109" s="2"/>
    </row>
    <row r="110" ht="14.25" customHeight="1">
      <c r="A110" s="2"/>
      <c r="B110" s="2"/>
      <c r="C110" s="2"/>
      <c r="D110" s="2"/>
      <c r="E110" s="2"/>
      <c r="F110" s="2"/>
      <c r="G110" s="2"/>
      <c r="H110" s="2"/>
      <c r="I110" s="2"/>
      <c r="J110" s="2"/>
      <c r="K110" s="2"/>
    </row>
    <row r="111" ht="14.25" customHeight="1">
      <c r="A111" s="2"/>
      <c r="B111" s="2"/>
      <c r="C111" s="2"/>
      <c r="D111" s="2"/>
      <c r="E111" s="2"/>
      <c r="F111" s="2"/>
      <c r="G111" s="2"/>
      <c r="H111" s="2"/>
      <c r="I111" s="2"/>
      <c r="J111" s="2"/>
      <c r="K111" s="2"/>
    </row>
    <row r="112" ht="14.25" customHeight="1">
      <c r="A112" s="2"/>
      <c r="B112" s="2"/>
      <c r="C112" s="2"/>
      <c r="D112" s="2"/>
      <c r="E112" s="2"/>
      <c r="F112" s="2"/>
      <c r="G112" s="2"/>
      <c r="H112" s="2"/>
      <c r="I112" s="2"/>
      <c r="J112" s="2"/>
      <c r="K112" s="2"/>
    </row>
    <row r="113" ht="14.25" customHeight="1">
      <c r="A113" s="2"/>
      <c r="B113" s="2"/>
      <c r="C113" s="2"/>
      <c r="D113" s="2"/>
      <c r="E113" s="2"/>
      <c r="F113" s="2"/>
      <c r="G113" s="2"/>
      <c r="H113" s="2"/>
      <c r="I113" s="2"/>
      <c r="J113" s="2"/>
      <c r="K113" s="2"/>
    </row>
    <row r="114" ht="14.25" customHeight="1">
      <c r="A114" s="2"/>
      <c r="B114" s="2"/>
      <c r="C114" s="2"/>
      <c r="D114" s="2"/>
      <c r="E114" s="2"/>
      <c r="F114" s="2"/>
      <c r="G114" s="2"/>
      <c r="H114" s="2"/>
      <c r="I114" s="2"/>
      <c r="J114" s="2"/>
      <c r="K114" s="2"/>
    </row>
    <row r="115" ht="14.25" customHeight="1">
      <c r="A115" s="2"/>
      <c r="B115" s="2"/>
      <c r="C115" s="2"/>
      <c r="D115" s="2"/>
      <c r="E115" s="2"/>
      <c r="F115" s="2"/>
      <c r="G115" s="2"/>
      <c r="H115" s="2"/>
      <c r="I115" s="2"/>
      <c r="J115" s="2"/>
      <c r="K115" s="2"/>
    </row>
    <row r="116" ht="14.25" customHeight="1">
      <c r="A116" s="2"/>
      <c r="B116" s="2"/>
      <c r="C116" s="2"/>
      <c r="D116" s="2"/>
      <c r="E116" s="2"/>
      <c r="F116" s="2"/>
      <c r="G116" s="2"/>
      <c r="H116" s="2"/>
      <c r="I116" s="2"/>
      <c r="J116" s="2"/>
      <c r="K116" s="2"/>
    </row>
    <row r="117" ht="14.25" customHeight="1">
      <c r="A117" s="2"/>
      <c r="B117" s="2"/>
      <c r="C117" s="2"/>
      <c r="D117" s="2"/>
      <c r="E117" s="2"/>
      <c r="F117" s="2"/>
      <c r="G117" s="2"/>
      <c r="H117" s="2"/>
      <c r="I117" s="2"/>
      <c r="J117" s="2"/>
      <c r="K117" s="2"/>
    </row>
    <row r="118" ht="14.25" customHeight="1">
      <c r="A118" s="2"/>
      <c r="B118" s="2"/>
      <c r="C118" s="2"/>
      <c r="D118" s="2"/>
      <c r="E118" s="2"/>
      <c r="F118" s="2"/>
      <c r="G118" s="2"/>
      <c r="H118" s="2"/>
      <c r="I118" s="2"/>
      <c r="J118" s="2"/>
      <c r="K118" s="2"/>
    </row>
    <row r="119" ht="14.25" customHeight="1">
      <c r="A119" s="2"/>
      <c r="B119" s="2"/>
      <c r="C119" s="2"/>
      <c r="D119" s="2"/>
      <c r="E119" s="2"/>
      <c r="F119" s="2"/>
      <c r="G119" s="2"/>
      <c r="H119" s="2"/>
      <c r="I119" s="2"/>
      <c r="J119" s="2"/>
      <c r="K119" s="2"/>
    </row>
    <row r="120" ht="14.25" customHeight="1">
      <c r="A120" s="2"/>
      <c r="B120" s="2"/>
      <c r="C120" s="2"/>
      <c r="D120" s="2"/>
      <c r="E120" s="2"/>
      <c r="F120" s="2"/>
      <c r="G120" s="2"/>
      <c r="H120" s="2"/>
      <c r="I120" s="2"/>
      <c r="J120" s="2"/>
      <c r="K120" s="2"/>
    </row>
    <row r="121" ht="14.25" customHeight="1">
      <c r="A121" s="2"/>
      <c r="B121" s="2"/>
      <c r="C121" s="2"/>
      <c r="D121" s="2"/>
      <c r="E121" s="2"/>
      <c r="F121" s="2"/>
      <c r="G121" s="2"/>
      <c r="H121" s="2"/>
      <c r="I121" s="2"/>
      <c r="J121" s="2"/>
      <c r="K121" s="2"/>
    </row>
    <row r="122" ht="14.25" customHeight="1">
      <c r="A122" s="2"/>
      <c r="B122" s="2"/>
      <c r="C122" s="2"/>
      <c r="D122" s="2"/>
      <c r="E122" s="2"/>
      <c r="F122" s="2"/>
      <c r="G122" s="2"/>
      <c r="H122" s="2"/>
      <c r="I122" s="2"/>
      <c r="J122" s="2"/>
      <c r="K122" s="2"/>
    </row>
    <row r="123" ht="14.25" customHeight="1">
      <c r="A123" s="2"/>
      <c r="B123" s="2"/>
      <c r="C123" s="2"/>
      <c r="D123" s="2"/>
      <c r="E123" s="2"/>
      <c r="F123" s="2"/>
      <c r="G123" s="2"/>
      <c r="H123" s="2"/>
      <c r="I123" s="2"/>
      <c r="J123" s="2"/>
      <c r="K123" s="2"/>
    </row>
    <row r="124" ht="14.25" customHeight="1">
      <c r="A124" s="2"/>
      <c r="B124" s="2"/>
      <c r="C124" s="2"/>
      <c r="D124" s="2"/>
      <c r="E124" s="2"/>
      <c r="F124" s="2"/>
      <c r="G124" s="2"/>
      <c r="H124" s="2"/>
      <c r="I124" s="2"/>
      <c r="J124" s="2"/>
      <c r="K124" s="2"/>
    </row>
    <row r="125" ht="14.25" customHeight="1">
      <c r="A125" s="2"/>
      <c r="B125" s="2"/>
      <c r="C125" s="2"/>
      <c r="D125" s="2"/>
      <c r="E125" s="2"/>
      <c r="F125" s="2"/>
      <c r="G125" s="2"/>
      <c r="H125" s="2"/>
      <c r="I125" s="2"/>
      <c r="J125" s="2"/>
      <c r="K125" s="2"/>
    </row>
    <row r="126" ht="14.25" customHeight="1">
      <c r="A126" s="2"/>
      <c r="B126" s="2"/>
      <c r="C126" s="2"/>
      <c r="D126" s="2"/>
      <c r="E126" s="2"/>
      <c r="F126" s="2"/>
      <c r="G126" s="2"/>
      <c r="H126" s="2"/>
      <c r="I126" s="2"/>
      <c r="J126" s="2"/>
      <c r="K126" s="2"/>
    </row>
    <row r="127" ht="14.25" customHeight="1">
      <c r="A127" s="2"/>
      <c r="B127" s="2"/>
      <c r="C127" s="2"/>
      <c r="D127" s="2"/>
      <c r="E127" s="2"/>
      <c r="F127" s="2"/>
      <c r="G127" s="2"/>
      <c r="H127" s="2"/>
      <c r="I127" s="2"/>
      <c r="J127" s="2"/>
      <c r="K127" s="2"/>
    </row>
    <row r="128" ht="14.25" customHeight="1">
      <c r="A128" s="2"/>
      <c r="B128" s="2"/>
      <c r="C128" s="2"/>
      <c r="D128" s="2"/>
      <c r="E128" s="2"/>
      <c r="F128" s="2"/>
      <c r="G128" s="2"/>
      <c r="H128" s="2"/>
      <c r="I128" s="2"/>
      <c r="J128" s="2"/>
      <c r="K128" s="2"/>
    </row>
    <row r="129" ht="14.25" customHeight="1">
      <c r="A129" s="2"/>
      <c r="B129" s="2"/>
      <c r="C129" s="2"/>
      <c r="D129" s="2"/>
      <c r="E129" s="2"/>
      <c r="F129" s="2"/>
      <c r="G129" s="2"/>
      <c r="H129" s="2"/>
      <c r="I129" s="2"/>
      <c r="J129" s="2"/>
      <c r="K129" s="2"/>
    </row>
    <row r="130" ht="14.25" customHeight="1">
      <c r="A130" s="2"/>
      <c r="B130" s="2"/>
      <c r="C130" s="2"/>
      <c r="D130" s="2"/>
      <c r="E130" s="2"/>
      <c r="F130" s="2"/>
      <c r="G130" s="2"/>
      <c r="H130" s="2"/>
      <c r="I130" s="2"/>
      <c r="J130" s="2"/>
      <c r="K130" s="2"/>
    </row>
    <row r="131" ht="14.25" customHeight="1">
      <c r="A131" s="2"/>
      <c r="B131" s="2"/>
      <c r="C131" s="2"/>
      <c r="D131" s="2"/>
      <c r="E131" s="2"/>
      <c r="F131" s="2"/>
      <c r="G131" s="2"/>
      <c r="H131" s="2"/>
      <c r="I131" s="2"/>
      <c r="J131" s="2"/>
      <c r="K131" s="2"/>
    </row>
    <row r="132" ht="14.25" customHeight="1">
      <c r="A132" s="2"/>
      <c r="B132" s="2"/>
      <c r="C132" s="2"/>
      <c r="D132" s="2"/>
      <c r="E132" s="2"/>
      <c r="F132" s="2"/>
      <c r="G132" s="2"/>
      <c r="H132" s="2"/>
      <c r="I132" s="2"/>
      <c r="J132" s="2"/>
      <c r="K132" s="2"/>
    </row>
    <row r="133" ht="14.25" customHeight="1">
      <c r="A133" s="2"/>
      <c r="B133" s="2"/>
      <c r="C133" s="2"/>
      <c r="D133" s="2"/>
      <c r="E133" s="2"/>
      <c r="F133" s="2"/>
      <c r="G133" s="2"/>
      <c r="H133" s="2"/>
      <c r="I133" s="2"/>
      <c r="J133" s="2"/>
      <c r="K133" s="2"/>
    </row>
    <row r="134" ht="14.25" customHeight="1">
      <c r="A134" s="2"/>
      <c r="B134" s="2"/>
      <c r="C134" s="2"/>
      <c r="D134" s="2"/>
      <c r="E134" s="2"/>
      <c r="F134" s="2"/>
      <c r="G134" s="2"/>
      <c r="H134" s="2"/>
      <c r="I134" s="2"/>
      <c r="J134" s="2"/>
      <c r="K134" s="2"/>
    </row>
    <row r="135" ht="14.25" customHeight="1">
      <c r="A135" s="2"/>
      <c r="B135" s="2"/>
      <c r="C135" s="2"/>
      <c r="D135" s="2"/>
      <c r="E135" s="2"/>
      <c r="F135" s="2"/>
      <c r="G135" s="2"/>
      <c r="H135" s="2"/>
      <c r="I135" s="2"/>
      <c r="J135" s="2"/>
      <c r="K135" s="2"/>
    </row>
    <row r="136" ht="14.25" customHeight="1">
      <c r="A136" s="2"/>
      <c r="B136" s="2"/>
      <c r="C136" s="2"/>
      <c r="D136" s="2"/>
      <c r="E136" s="2"/>
      <c r="F136" s="2"/>
      <c r="G136" s="2"/>
      <c r="H136" s="2"/>
      <c r="I136" s="2"/>
      <c r="J136" s="2"/>
      <c r="K136" s="2"/>
    </row>
    <row r="137" ht="14.25" customHeight="1">
      <c r="A137" s="2"/>
      <c r="B137" s="2"/>
      <c r="C137" s="2"/>
      <c r="D137" s="2"/>
      <c r="E137" s="2"/>
      <c r="F137" s="2"/>
      <c r="G137" s="2"/>
      <c r="H137" s="2"/>
      <c r="I137" s="2"/>
      <c r="J137" s="2"/>
      <c r="K137" s="2"/>
    </row>
    <row r="138" ht="14.25" customHeight="1">
      <c r="A138" s="2"/>
      <c r="B138" s="2"/>
      <c r="C138" s="2"/>
      <c r="D138" s="2"/>
      <c r="E138" s="2"/>
      <c r="F138" s="2"/>
      <c r="G138" s="2"/>
      <c r="H138" s="2"/>
      <c r="I138" s="2"/>
      <c r="J138" s="2"/>
      <c r="K138" s="2"/>
    </row>
    <row r="139" ht="14.25" customHeight="1">
      <c r="A139" s="2"/>
      <c r="B139" s="2"/>
      <c r="C139" s="2"/>
      <c r="D139" s="2"/>
      <c r="E139" s="2"/>
      <c r="F139" s="2"/>
      <c r="G139" s="2"/>
      <c r="H139" s="2"/>
      <c r="I139" s="2"/>
      <c r="J139" s="2"/>
      <c r="K139" s="2"/>
    </row>
    <row r="140" ht="14.25" customHeight="1">
      <c r="A140" s="2"/>
      <c r="B140" s="2"/>
      <c r="C140" s="2"/>
      <c r="D140" s="2"/>
      <c r="E140" s="2"/>
      <c r="F140" s="2"/>
      <c r="G140" s="2"/>
      <c r="H140" s="2"/>
      <c r="I140" s="2"/>
      <c r="J140" s="2"/>
      <c r="K140" s="2"/>
    </row>
    <row r="141" ht="14.25" customHeight="1">
      <c r="A141" s="2"/>
      <c r="B141" s="2"/>
      <c r="C141" s="2"/>
      <c r="D141" s="2"/>
      <c r="E141" s="2"/>
      <c r="F141" s="2"/>
      <c r="G141" s="2"/>
      <c r="H141" s="2"/>
      <c r="I141" s="2"/>
      <c r="J141" s="2"/>
      <c r="K141" s="2"/>
    </row>
    <row r="142" ht="14.25" customHeight="1">
      <c r="A142" s="2"/>
      <c r="B142" s="2"/>
      <c r="C142" s="2"/>
      <c r="D142" s="2"/>
      <c r="E142" s="2"/>
      <c r="F142" s="2"/>
      <c r="G142" s="2"/>
      <c r="H142" s="2"/>
      <c r="I142" s="2"/>
      <c r="J142" s="2"/>
      <c r="K142" s="2"/>
    </row>
    <row r="143" ht="14.25" customHeight="1">
      <c r="A143" s="2"/>
      <c r="B143" s="2"/>
      <c r="C143" s="2"/>
      <c r="D143" s="2"/>
      <c r="E143" s="2"/>
      <c r="F143" s="2"/>
      <c r="G143" s="2"/>
      <c r="H143" s="2"/>
      <c r="I143" s="2"/>
      <c r="J143" s="2"/>
      <c r="K143" s="2"/>
    </row>
    <row r="144" ht="14.25" customHeight="1">
      <c r="A144" s="2"/>
      <c r="B144" s="2"/>
      <c r="C144" s="2"/>
      <c r="D144" s="2"/>
      <c r="E144" s="2"/>
      <c r="F144" s="2"/>
      <c r="G144" s="2"/>
      <c r="H144" s="2"/>
      <c r="I144" s="2"/>
      <c r="J144" s="2"/>
      <c r="K144" s="2"/>
    </row>
    <row r="145" ht="14.25" customHeight="1">
      <c r="A145" s="2"/>
      <c r="B145" s="2"/>
      <c r="C145" s="2"/>
      <c r="D145" s="2"/>
      <c r="E145" s="2"/>
      <c r="F145" s="2"/>
      <c r="G145" s="2"/>
      <c r="H145" s="2"/>
      <c r="I145" s="2"/>
      <c r="J145" s="2"/>
      <c r="K145" s="2"/>
    </row>
    <row r="146" ht="14.25" customHeight="1">
      <c r="A146" s="2"/>
      <c r="B146" s="2"/>
      <c r="C146" s="2"/>
      <c r="D146" s="2"/>
      <c r="E146" s="2"/>
      <c r="F146" s="2"/>
      <c r="G146" s="2"/>
      <c r="H146" s="2"/>
      <c r="I146" s="2"/>
      <c r="J146" s="2"/>
      <c r="K146" s="2"/>
    </row>
    <row r="147" ht="14.25" customHeight="1">
      <c r="A147" s="2"/>
      <c r="B147" s="2"/>
      <c r="C147" s="2"/>
      <c r="D147" s="2"/>
      <c r="E147" s="2"/>
      <c r="F147" s="2"/>
      <c r="G147" s="2"/>
      <c r="H147" s="2"/>
      <c r="I147" s="2"/>
      <c r="J147" s="2"/>
      <c r="K147" s="2"/>
    </row>
    <row r="148" ht="14.25" customHeight="1">
      <c r="A148" s="2"/>
      <c r="B148" s="2"/>
      <c r="C148" s="2"/>
      <c r="D148" s="2"/>
      <c r="E148" s="2"/>
      <c r="F148" s="2"/>
      <c r="G148" s="2"/>
      <c r="H148" s="2"/>
      <c r="I148" s="2"/>
      <c r="J148" s="2"/>
      <c r="K148" s="2"/>
    </row>
    <row r="149" ht="14.25" customHeight="1">
      <c r="A149" s="2"/>
      <c r="B149" s="2"/>
      <c r="C149" s="2"/>
      <c r="D149" s="2"/>
      <c r="E149" s="2"/>
      <c r="F149" s="2"/>
      <c r="G149" s="2"/>
      <c r="H149" s="2"/>
      <c r="I149" s="2"/>
      <c r="J149" s="2"/>
      <c r="K149" s="2"/>
    </row>
    <row r="150" ht="14.25" customHeight="1">
      <c r="A150" s="2"/>
      <c r="B150" s="2"/>
      <c r="C150" s="2"/>
      <c r="D150" s="2"/>
      <c r="E150" s="2"/>
      <c r="F150" s="2"/>
      <c r="G150" s="2"/>
      <c r="H150" s="2"/>
      <c r="I150" s="2"/>
      <c r="J150" s="2"/>
      <c r="K150" s="2"/>
    </row>
    <row r="151" ht="14.25" customHeight="1">
      <c r="A151" s="2"/>
      <c r="B151" s="2"/>
      <c r="C151" s="2"/>
      <c r="D151" s="2"/>
      <c r="E151" s="2"/>
      <c r="F151" s="2"/>
      <c r="G151" s="2"/>
      <c r="H151" s="2"/>
      <c r="I151" s="2"/>
      <c r="J151" s="2"/>
      <c r="K151" s="2"/>
    </row>
    <row r="152" ht="14.25" customHeight="1">
      <c r="A152" s="2"/>
      <c r="B152" s="2"/>
      <c r="C152" s="2"/>
      <c r="D152" s="2"/>
      <c r="E152" s="2"/>
      <c r="F152" s="2"/>
      <c r="G152" s="2"/>
      <c r="H152" s="2"/>
      <c r="I152" s="2"/>
      <c r="J152" s="2"/>
      <c r="K152" s="2"/>
    </row>
    <row r="153" ht="14.25" customHeight="1">
      <c r="A153" s="2"/>
      <c r="B153" s="2"/>
      <c r="C153" s="2"/>
      <c r="D153" s="2"/>
      <c r="E153" s="2"/>
      <c r="F153" s="2"/>
      <c r="G153" s="2"/>
      <c r="H153" s="2"/>
      <c r="I153" s="2"/>
      <c r="J153" s="2"/>
      <c r="K153" s="2"/>
    </row>
    <row r="154" ht="14.25" customHeight="1">
      <c r="A154" s="2"/>
      <c r="B154" s="2"/>
      <c r="C154" s="2"/>
      <c r="D154" s="2"/>
      <c r="E154" s="2"/>
      <c r="F154" s="2"/>
      <c r="G154" s="2"/>
      <c r="H154" s="2"/>
      <c r="I154" s="2"/>
      <c r="J154" s="2"/>
      <c r="K154" s="2"/>
    </row>
    <row r="155" ht="14.25" customHeight="1">
      <c r="A155" s="2"/>
      <c r="B155" s="2"/>
      <c r="C155" s="2"/>
      <c r="D155" s="2"/>
      <c r="E155" s="2"/>
      <c r="F155" s="2"/>
      <c r="G155" s="2"/>
      <c r="H155" s="2"/>
      <c r="I155" s="2"/>
      <c r="J155" s="2"/>
      <c r="K155" s="2"/>
    </row>
    <row r="156" ht="14.25" customHeight="1">
      <c r="A156" s="2"/>
      <c r="B156" s="2"/>
      <c r="C156" s="2"/>
      <c r="D156" s="2"/>
      <c r="E156" s="2"/>
      <c r="F156" s="2"/>
      <c r="G156" s="2"/>
      <c r="H156" s="2"/>
      <c r="I156" s="2"/>
      <c r="J156" s="2"/>
      <c r="K156" s="2"/>
    </row>
    <row r="157" ht="14.25" customHeight="1">
      <c r="A157" s="2"/>
      <c r="B157" s="2"/>
      <c r="C157" s="2"/>
      <c r="D157" s="2"/>
      <c r="E157" s="2"/>
      <c r="F157" s="2"/>
      <c r="G157" s="2"/>
      <c r="H157" s="2"/>
      <c r="I157" s="2"/>
      <c r="J157" s="2"/>
      <c r="K157" s="2"/>
    </row>
    <row r="158" ht="14.25" customHeight="1">
      <c r="A158" s="2"/>
      <c r="B158" s="2"/>
      <c r="C158" s="2"/>
      <c r="D158" s="2"/>
      <c r="E158" s="2"/>
      <c r="F158" s="2"/>
      <c r="G158" s="2"/>
      <c r="H158" s="2"/>
      <c r="I158" s="2"/>
      <c r="J158" s="2"/>
      <c r="K158" s="2"/>
    </row>
    <row r="159" ht="14.25" customHeight="1">
      <c r="A159" s="2"/>
      <c r="B159" s="2"/>
      <c r="C159" s="2"/>
      <c r="D159" s="2"/>
      <c r="E159" s="2"/>
      <c r="F159" s="2"/>
      <c r="G159" s="2"/>
      <c r="H159" s="2"/>
      <c r="I159" s="2"/>
      <c r="J159" s="2"/>
      <c r="K159" s="2"/>
    </row>
    <row r="160" ht="14.25" customHeight="1">
      <c r="A160" s="2"/>
      <c r="B160" s="2"/>
      <c r="C160" s="2"/>
      <c r="D160" s="2"/>
      <c r="E160" s="2"/>
      <c r="F160" s="2"/>
      <c r="G160" s="2"/>
      <c r="H160" s="2"/>
      <c r="I160" s="2"/>
      <c r="J160" s="2"/>
      <c r="K160" s="2"/>
    </row>
    <row r="161" ht="14.25" customHeight="1">
      <c r="A161" s="2"/>
      <c r="B161" s="2"/>
      <c r="C161" s="2"/>
      <c r="D161" s="2"/>
      <c r="E161" s="2"/>
      <c r="F161" s="2"/>
      <c r="G161" s="2"/>
      <c r="H161" s="2"/>
      <c r="I161" s="2"/>
      <c r="J161" s="2"/>
      <c r="K161" s="2"/>
    </row>
    <row r="162" ht="14.25" customHeight="1">
      <c r="A162" s="2"/>
      <c r="B162" s="2"/>
      <c r="C162" s="2"/>
      <c r="D162" s="2"/>
      <c r="E162" s="2"/>
      <c r="F162" s="2"/>
      <c r="G162" s="2"/>
      <c r="H162" s="2"/>
      <c r="I162" s="2"/>
      <c r="J162" s="2"/>
      <c r="K162" s="2"/>
    </row>
    <row r="163" ht="14.25" customHeight="1">
      <c r="A163" s="2"/>
      <c r="B163" s="2"/>
      <c r="C163" s="2"/>
      <c r="D163" s="2"/>
      <c r="E163" s="2"/>
      <c r="F163" s="2"/>
      <c r="G163" s="2"/>
      <c r="H163" s="2"/>
      <c r="I163" s="2"/>
      <c r="J163" s="2"/>
      <c r="K163" s="2"/>
    </row>
    <row r="164" ht="14.25" customHeight="1">
      <c r="A164" s="2"/>
      <c r="B164" s="2"/>
      <c r="C164" s="2"/>
      <c r="D164" s="2"/>
      <c r="E164" s="2"/>
      <c r="F164" s="2"/>
      <c r="G164" s="2"/>
      <c r="H164" s="2"/>
      <c r="I164" s="2"/>
      <c r="J164" s="2"/>
      <c r="K164" s="2"/>
    </row>
    <row r="165" ht="14.25" customHeight="1">
      <c r="A165" s="2"/>
      <c r="B165" s="2"/>
      <c r="C165" s="2"/>
      <c r="D165" s="2"/>
      <c r="E165" s="2"/>
      <c r="F165" s="2"/>
      <c r="G165" s="2"/>
      <c r="H165" s="2"/>
      <c r="I165" s="2"/>
      <c r="J165" s="2"/>
      <c r="K165" s="2"/>
    </row>
    <row r="166" ht="14.25" customHeight="1">
      <c r="A166" s="2"/>
      <c r="B166" s="2"/>
      <c r="C166" s="2"/>
      <c r="D166" s="2"/>
      <c r="E166" s="2"/>
      <c r="F166" s="2"/>
      <c r="G166" s="2"/>
      <c r="H166" s="2"/>
      <c r="I166" s="2"/>
      <c r="J166" s="2"/>
      <c r="K166" s="2"/>
    </row>
    <row r="167" ht="14.25" customHeight="1">
      <c r="A167" s="2"/>
      <c r="B167" s="2"/>
      <c r="C167" s="2"/>
      <c r="D167" s="2"/>
      <c r="E167" s="2"/>
      <c r="F167" s="2"/>
      <c r="G167" s="2"/>
      <c r="H167" s="2"/>
      <c r="I167" s="2"/>
      <c r="J167" s="2"/>
      <c r="K167" s="2"/>
    </row>
    <row r="168" ht="14.25" customHeight="1">
      <c r="A168" s="2"/>
      <c r="B168" s="2"/>
      <c r="C168" s="2"/>
      <c r="D168" s="2"/>
      <c r="E168" s="2"/>
      <c r="F168" s="2"/>
      <c r="G168" s="2"/>
      <c r="H168" s="2"/>
      <c r="I168" s="2"/>
      <c r="J168" s="2"/>
      <c r="K168" s="2"/>
    </row>
    <row r="169" ht="14.25" customHeight="1">
      <c r="A169" s="2"/>
      <c r="B169" s="2"/>
      <c r="C169" s="2"/>
      <c r="D169" s="2"/>
      <c r="E169" s="2"/>
      <c r="F169" s="2"/>
      <c r="G169" s="2"/>
      <c r="H169" s="2"/>
      <c r="I169" s="2"/>
      <c r="J169" s="2"/>
      <c r="K169" s="2"/>
    </row>
    <row r="170" ht="14.25" customHeight="1">
      <c r="A170" s="2"/>
      <c r="B170" s="2"/>
      <c r="C170" s="2"/>
      <c r="D170" s="2"/>
      <c r="E170" s="2"/>
      <c r="F170" s="2"/>
      <c r="G170" s="2"/>
      <c r="H170" s="2"/>
      <c r="I170" s="2"/>
      <c r="J170" s="2"/>
      <c r="K170" s="2"/>
    </row>
    <row r="171" ht="14.25" customHeight="1">
      <c r="A171" s="2"/>
      <c r="B171" s="2"/>
      <c r="C171" s="2"/>
      <c r="D171" s="2"/>
      <c r="E171" s="2"/>
      <c r="F171" s="2"/>
      <c r="G171" s="2"/>
      <c r="H171" s="2"/>
      <c r="I171" s="2"/>
      <c r="J171" s="2"/>
      <c r="K171" s="2"/>
    </row>
    <row r="172" ht="14.25" customHeight="1">
      <c r="A172" s="2"/>
      <c r="B172" s="2"/>
      <c r="C172" s="2"/>
      <c r="D172" s="2"/>
      <c r="E172" s="2"/>
      <c r="F172" s="2"/>
      <c r="G172" s="2"/>
      <c r="H172" s="2"/>
      <c r="I172" s="2"/>
      <c r="J172" s="2"/>
      <c r="K172" s="2"/>
    </row>
    <row r="173" ht="14.25" customHeight="1">
      <c r="A173" s="2"/>
      <c r="B173" s="2"/>
      <c r="C173" s="2"/>
      <c r="D173" s="2"/>
      <c r="E173" s="2"/>
      <c r="F173" s="2"/>
      <c r="G173" s="2"/>
      <c r="H173" s="2"/>
      <c r="I173" s="2"/>
      <c r="J173" s="2"/>
      <c r="K173" s="2"/>
    </row>
    <row r="174" ht="14.25" customHeight="1">
      <c r="A174" s="2"/>
      <c r="B174" s="2"/>
      <c r="C174" s="2"/>
      <c r="D174" s="2"/>
      <c r="E174" s="2"/>
      <c r="F174" s="2"/>
      <c r="G174" s="2"/>
      <c r="H174" s="2"/>
      <c r="I174" s="2"/>
      <c r="J174" s="2"/>
      <c r="K174" s="2"/>
    </row>
    <row r="175" ht="14.25" customHeight="1">
      <c r="A175" s="2"/>
      <c r="B175" s="2"/>
      <c r="C175" s="2"/>
      <c r="D175" s="2"/>
      <c r="E175" s="2"/>
      <c r="F175" s="2"/>
      <c r="G175" s="2"/>
      <c r="H175" s="2"/>
      <c r="I175" s="2"/>
      <c r="J175" s="2"/>
      <c r="K175" s="2"/>
    </row>
    <row r="176" ht="14.25" customHeight="1">
      <c r="A176" s="2"/>
      <c r="B176" s="2"/>
      <c r="C176" s="2"/>
      <c r="D176" s="2"/>
      <c r="E176" s="2"/>
      <c r="F176" s="2"/>
      <c r="G176" s="2"/>
      <c r="H176" s="2"/>
      <c r="I176" s="2"/>
      <c r="J176" s="2"/>
      <c r="K176" s="2"/>
    </row>
    <row r="177" ht="14.25" customHeight="1">
      <c r="A177" s="2"/>
      <c r="B177" s="2"/>
      <c r="C177" s="2"/>
      <c r="D177" s="2"/>
      <c r="E177" s="2"/>
      <c r="F177" s="2"/>
      <c r="G177" s="2"/>
      <c r="H177" s="2"/>
      <c r="I177" s="2"/>
      <c r="J177" s="2"/>
      <c r="K177" s="2"/>
    </row>
    <row r="178" ht="14.25" customHeight="1">
      <c r="A178" s="2"/>
      <c r="B178" s="2"/>
      <c r="C178" s="2"/>
      <c r="D178" s="2"/>
      <c r="E178" s="2"/>
      <c r="F178" s="2"/>
      <c r="G178" s="2"/>
      <c r="H178" s="2"/>
      <c r="I178" s="2"/>
      <c r="J178" s="2"/>
      <c r="K178" s="2"/>
    </row>
    <row r="179" ht="14.25" customHeight="1">
      <c r="A179" s="2"/>
      <c r="B179" s="2"/>
      <c r="C179" s="2"/>
      <c r="D179" s="2"/>
      <c r="E179" s="2"/>
      <c r="F179" s="2"/>
      <c r="G179" s="2"/>
      <c r="H179" s="2"/>
      <c r="I179" s="2"/>
      <c r="J179" s="2"/>
      <c r="K179" s="2"/>
    </row>
    <row r="180" ht="14.25" customHeight="1">
      <c r="A180" s="2"/>
      <c r="B180" s="2"/>
      <c r="C180" s="2"/>
      <c r="D180" s="2"/>
      <c r="E180" s="2"/>
      <c r="F180" s="2"/>
      <c r="G180" s="2"/>
      <c r="H180" s="2"/>
      <c r="I180" s="2"/>
      <c r="J180" s="2"/>
      <c r="K180" s="2"/>
    </row>
    <row r="181" ht="14.25" customHeight="1">
      <c r="A181" s="2"/>
      <c r="B181" s="2"/>
      <c r="C181" s="2"/>
      <c r="D181" s="2"/>
      <c r="E181" s="2"/>
      <c r="F181" s="2"/>
      <c r="G181" s="2"/>
      <c r="H181" s="2"/>
      <c r="I181" s="2"/>
      <c r="J181" s="2"/>
      <c r="K181" s="2"/>
    </row>
    <row r="182" ht="14.25" customHeight="1">
      <c r="A182" s="2"/>
      <c r="B182" s="2"/>
      <c r="C182" s="2"/>
      <c r="D182" s="2"/>
      <c r="E182" s="2"/>
      <c r="F182" s="2"/>
      <c r="G182" s="2"/>
      <c r="H182" s="2"/>
      <c r="I182" s="2"/>
      <c r="J182" s="2"/>
      <c r="K182" s="2"/>
    </row>
    <row r="183" ht="14.25" customHeight="1">
      <c r="A183" s="2"/>
      <c r="B183" s="2"/>
      <c r="C183" s="2"/>
      <c r="D183" s="2"/>
      <c r="E183" s="2"/>
      <c r="F183" s="2"/>
      <c r="G183" s="2"/>
      <c r="H183" s="2"/>
      <c r="I183" s="2"/>
      <c r="J183" s="2"/>
      <c r="K183" s="2"/>
    </row>
    <row r="184" ht="14.25" customHeight="1">
      <c r="A184" s="2"/>
      <c r="B184" s="2"/>
      <c r="C184" s="2"/>
      <c r="D184" s="2"/>
      <c r="E184" s="2"/>
      <c r="F184" s="2"/>
      <c r="G184" s="2"/>
      <c r="H184" s="2"/>
      <c r="I184" s="2"/>
      <c r="J184" s="2"/>
      <c r="K184" s="2"/>
    </row>
    <row r="185" ht="14.25" customHeight="1">
      <c r="A185" s="2"/>
      <c r="B185" s="2"/>
      <c r="C185" s="2"/>
      <c r="D185" s="2"/>
      <c r="E185" s="2"/>
      <c r="F185" s="2"/>
      <c r="G185" s="2"/>
      <c r="H185" s="2"/>
      <c r="I185" s="2"/>
      <c r="J185" s="2"/>
      <c r="K185" s="2"/>
    </row>
    <row r="186" ht="14.25" customHeight="1">
      <c r="A186" s="2"/>
      <c r="B186" s="2"/>
      <c r="C186" s="2"/>
      <c r="D186" s="2"/>
      <c r="E186" s="2"/>
      <c r="F186" s="2"/>
      <c r="G186" s="2"/>
      <c r="H186" s="2"/>
      <c r="I186" s="2"/>
      <c r="J186" s="2"/>
      <c r="K186" s="2"/>
    </row>
    <row r="187" ht="14.25" customHeight="1">
      <c r="A187" s="2"/>
      <c r="B187" s="2"/>
      <c r="C187" s="2"/>
      <c r="D187" s="2"/>
      <c r="E187" s="2"/>
      <c r="F187" s="2"/>
      <c r="G187" s="2"/>
      <c r="H187" s="2"/>
      <c r="I187" s="2"/>
      <c r="J187" s="2"/>
      <c r="K187" s="2"/>
    </row>
    <row r="188" ht="14.25" customHeight="1">
      <c r="A188" s="2"/>
      <c r="B188" s="2"/>
      <c r="C188" s="2"/>
      <c r="D188" s="2"/>
      <c r="E188" s="2"/>
      <c r="F188" s="2"/>
      <c r="G188" s="2"/>
      <c r="H188" s="2"/>
      <c r="I188" s="2"/>
      <c r="J188" s="2"/>
      <c r="K188" s="2"/>
    </row>
    <row r="189" ht="14.25" customHeight="1">
      <c r="A189" s="2"/>
      <c r="B189" s="2"/>
      <c r="C189" s="2"/>
      <c r="D189" s="2"/>
      <c r="E189" s="2"/>
      <c r="F189" s="2"/>
      <c r="G189" s="2"/>
      <c r="H189" s="2"/>
      <c r="I189" s="2"/>
      <c r="J189" s="2"/>
      <c r="K189" s="2"/>
    </row>
    <row r="190" ht="14.25" customHeight="1">
      <c r="A190" s="2"/>
      <c r="B190" s="2"/>
      <c r="C190" s="2"/>
      <c r="D190" s="2"/>
      <c r="E190" s="2"/>
      <c r="F190" s="2"/>
      <c r="G190" s="2"/>
      <c r="H190" s="2"/>
      <c r="I190" s="2"/>
      <c r="J190" s="2"/>
      <c r="K190" s="2"/>
    </row>
    <row r="191" ht="14.25" customHeight="1">
      <c r="A191" s="2"/>
      <c r="B191" s="2"/>
      <c r="C191" s="2"/>
      <c r="D191" s="2"/>
      <c r="E191" s="2"/>
      <c r="F191" s="2"/>
      <c r="G191" s="2"/>
      <c r="H191" s="2"/>
      <c r="I191" s="2"/>
      <c r="J191" s="2"/>
      <c r="K191" s="2"/>
    </row>
    <row r="192" ht="14.25" customHeight="1">
      <c r="A192" s="2"/>
      <c r="B192" s="2"/>
      <c r="C192" s="2"/>
      <c r="D192" s="2"/>
      <c r="E192" s="2"/>
      <c r="F192" s="2"/>
      <c r="G192" s="2"/>
      <c r="H192" s="2"/>
      <c r="I192" s="2"/>
      <c r="J192" s="2"/>
      <c r="K192" s="2"/>
    </row>
    <row r="193" ht="14.25" customHeight="1">
      <c r="A193" s="2"/>
      <c r="B193" s="2"/>
      <c r="C193" s="2"/>
      <c r="D193" s="2"/>
      <c r="E193" s="2"/>
      <c r="F193" s="2"/>
      <c r="G193" s="2"/>
      <c r="H193" s="2"/>
      <c r="I193" s="2"/>
      <c r="J193" s="2"/>
      <c r="K193" s="2"/>
    </row>
    <row r="194" ht="14.25" customHeight="1">
      <c r="A194" s="2"/>
      <c r="B194" s="2"/>
      <c r="C194" s="2"/>
      <c r="D194" s="2"/>
      <c r="E194" s="2"/>
      <c r="F194" s="2"/>
      <c r="G194" s="2"/>
      <c r="H194" s="2"/>
      <c r="I194" s="2"/>
      <c r="J194" s="2"/>
      <c r="K194" s="2"/>
    </row>
    <row r="195" ht="14.25" customHeight="1">
      <c r="A195" s="2"/>
      <c r="B195" s="2"/>
      <c r="C195" s="2"/>
      <c r="D195" s="2"/>
      <c r="E195" s="2"/>
      <c r="F195" s="2"/>
      <c r="G195" s="2"/>
      <c r="H195" s="2"/>
      <c r="I195" s="2"/>
      <c r="J195" s="2"/>
      <c r="K195" s="2"/>
    </row>
    <row r="196" ht="14.25" customHeight="1">
      <c r="A196" s="2"/>
      <c r="B196" s="2"/>
      <c r="C196" s="2"/>
      <c r="D196" s="2"/>
      <c r="E196" s="2"/>
      <c r="F196" s="2"/>
      <c r="G196" s="2"/>
      <c r="H196" s="2"/>
      <c r="I196" s="2"/>
      <c r="J196" s="2"/>
      <c r="K196" s="2"/>
    </row>
    <row r="197" ht="14.25" customHeight="1">
      <c r="A197" s="2"/>
      <c r="B197" s="2"/>
      <c r="C197" s="2"/>
      <c r="D197" s="2"/>
      <c r="E197" s="2"/>
      <c r="F197" s="2"/>
      <c r="G197" s="2"/>
      <c r="H197" s="2"/>
      <c r="I197" s="2"/>
      <c r="J197" s="2"/>
      <c r="K197" s="2"/>
    </row>
    <row r="198" ht="14.25" customHeight="1">
      <c r="A198" s="2"/>
      <c r="B198" s="2"/>
      <c r="C198" s="2"/>
      <c r="D198" s="2"/>
      <c r="E198" s="2"/>
      <c r="F198" s="2"/>
      <c r="G198" s="2"/>
      <c r="H198" s="2"/>
      <c r="I198" s="2"/>
      <c r="J198" s="2"/>
      <c r="K198" s="2"/>
    </row>
    <row r="199" ht="14.25" customHeight="1">
      <c r="A199" s="2"/>
      <c r="B199" s="2"/>
      <c r="C199" s="2"/>
      <c r="D199" s="2"/>
      <c r="E199" s="2"/>
      <c r="F199" s="2"/>
      <c r="G199" s="2"/>
      <c r="H199" s="2"/>
      <c r="I199" s="2"/>
      <c r="J199" s="2"/>
      <c r="K199" s="2"/>
    </row>
    <row r="200" ht="14.25" customHeight="1">
      <c r="A200" s="2"/>
      <c r="B200" s="2"/>
      <c r="C200" s="2"/>
      <c r="D200" s="2"/>
      <c r="E200" s="2"/>
      <c r="F200" s="2"/>
      <c r="G200" s="2"/>
      <c r="H200" s="2"/>
      <c r="I200" s="2"/>
      <c r="J200" s="2"/>
      <c r="K200" s="2"/>
    </row>
    <row r="201" ht="14.25" customHeight="1">
      <c r="A201" s="2"/>
      <c r="B201" s="2"/>
      <c r="C201" s="2"/>
      <c r="D201" s="2"/>
      <c r="E201" s="2"/>
      <c r="F201" s="2"/>
      <c r="G201" s="2"/>
      <c r="H201" s="2"/>
      <c r="I201" s="2"/>
      <c r="J201" s="2"/>
      <c r="K201" s="2"/>
    </row>
    <row r="202" ht="14.25" customHeight="1">
      <c r="A202" s="2"/>
      <c r="B202" s="2"/>
      <c r="C202" s="2"/>
      <c r="D202" s="2"/>
      <c r="E202" s="2"/>
      <c r="F202" s="2"/>
      <c r="G202" s="2"/>
      <c r="H202" s="2"/>
      <c r="I202" s="2"/>
      <c r="J202" s="2"/>
      <c r="K202" s="2"/>
    </row>
    <row r="203" ht="14.25" customHeight="1">
      <c r="A203" s="2"/>
      <c r="B203" s="2"/>
      <c r="C203" s="2"/>
      <c r="D203" s="2"/>
      <c r="E203" s="2"/>
      <c r="F203" s="2"/>
      <c r="G203" s="2"/>
      <c r="H203" s="2"/>
      <c r="I203" s="2"/>
      <c r="J203" s="2"/>
      <c r="K203" s="2"/>
    </row>
    <row r="204" ht="14.25" customHeight="1">
      <c r="A204" s="2"/>
      <c r="B204" s="2"/>
      <c r="C204" s="2"/>
      <c r="D204" s="2"/>
      <c r="E204" s="2"/>
      <c r="F204" s="2"/>
      <c r="G204" s="2"/>
      <c r="H204" s="2"/>
      <c r="I204" s="2"/>
      <c r="J204" s="2"/>
      <c r="K204" s="2"/>
    </row>
    <row r="205" ht="14.25" customHeight="1">
      <c r="A205" s="2"/>
      <c r="B205" s="2"/>
      <c r="C205" s="2"/>
      <c r="D205" s="2"/>
      <c r="E205" s="2"/>
      <c r="F205" s="2"/>
      <c r="G205" s="2"/>
      <c r="H205" s="2"/>
      <c r="I205" s="2"/>
      <c r="J205" s="2"/>
      <c r="K205" s="2"/>
    </row>
    <row r="206" ht="14.25" customHeight="1">
      <c r="A206" s="2"/>
      <c r="B206" s="2"/>
      <c r="C206" s="2"/>
      <c r="D206" s="2"/>
      <c r="E206" s="2"/>
      <c r="F206" s="2"/>
      <c r="G206" s="2"/>
      <c r="H206" s="2"/>
      <c r="I206" s="2"/>
      <c r="J206" s="2"/>
      <c r="K206" s="2"/>
    </row>
    <row r="207" ht="14.25" customHeight="1">
      <c r="A207" s="2"/>
      <c r="B207" s="2"/>
      <c r="C207" s="2"/>
      <c r="D207" s="2"/>
      <c r="E207" s="2"/>
      <c r="F207" s="2"/>
      <c r="G207" s="2"/>
      <c r="H207" s="2"/>
      <c r="I207" s="2"/>
      <c r="J207" s="2"/>
      <c r="K207" s="2"/>
    </row>
    <row r="208" ht="14.25" customHeight="1">
      <c r="A208" s="2"/>
      <c r="B208" s="2"/>
      <c r="C208" s="2"/>
      <c r="D208" s="2"/>
      <c r="E208" s="2"/>
      <c r="F208" s="2"/>
      <c r="G208" s="2"/>
      <c r="H208" s="2"/>
      <c r="I208" s="2"/>
      <c r="J208" s="2"/>
      <c r="K208" s="2"/>
    </row>
    <row r="209" ht="14.25" customHeight="1">
      <c r="A209" s="2"/>
      <c r="B209" s="2"/>
      <c r="C209" s="2"/>
      <c r="D209" s="2"/>
      <c r="E209" s="2"/>
      <c r="F209" s="2"/>
      <c r="G209" s="2"/>
      <c r="H209" s="2"/>
      <c r="I209" s="2"/>
      <c r="J209" s="2"/>
      <c r="K209" s="2"/>
    </row>
    <row r="210" ht="14.25" customHeight="1">
      <c r="A210" s="2"/>
      <c r="B210" s="2"/>
      <c r="C210" s="2"/>
      <c r="D210" s="2"/>
      <c r="E210" s="2"/>
      <c r="F210" s="2"/>
      <c r="G210" s="2"/>
      <c r="H210" s="2"/>
      <c r="I210" s="2"/>
      <c r="J210" s="2"/>
      <c r="K210" s="2"/>
    </row>
    <row r="211" ht="14.25" customHeight="1">
      <c r="A211" s="2"/>
      <c r="B211" s="2"/>
      <c r="C211" s="2"/>
      <c r="D211" s="2"/>
      <c r="E211" s="2"/>
      <c r="F211" s="2"/>
      <c r="G211" s="2"/>
      <c r="H211" s="2"/>
      <c r="I211" s="2"/>
      <c r="J211" s="2"/>
      <c r="K211" s="2"/>
    </row>
    <row r="212" ht="14.25" customHeight="1">
      <c r="A212" s="2"/>
      <c r="B212" s="2"/>
      <c r="C212" s="2"/>
      <c r="D212" s="2"/>
      <c r="E212" s="2"/>
      <c r="F212" s="2"/>
      <c r="G212" s="2"/>
      <c r="H212" s="2"/>
      <c r="I212" s="2"/>
      <c r="J212" s="2"/>
      <c r="K212" s="2"/>
    </row>
    <row r="213" ht="14.25" customHeight="1">
      <c r="A213" s="2"/>
      <c r="B213" s="2"/>
      <c r="C213" s="2"/>
      <c r="D213" s="2"/>
      <c r="E213" s="2"/>
      <c r="F213" s="2"/>
      <c r="G213" s="2"/>
      <c r="H213" s="2"/>
      <c r="I213" s="2"/>
      <c r="J213" s="2"/>
      <c r="K213" s="2"/>
    </row>
    <row r="214" ht="14.25" customHeight="1">
      <c r="A214" s="2"/>
      <c r="B214" s="2"/>
      <c r="C214" s="2"/>
      <c r="D214" s="2"/>
      <c r="E214" s="2"/>
      <c r="F214" s="2"/>
      <c r="G214" s="2"/>
      <c r="H214" s="2"/>
      <c r="I214" s="2"/>
      <c r="J214" s="2"/>
      <c r="K214" s="2"/>
    </row>
    <row r="215" ht="14.25" customHeight="1">
      <c r="A215" s="2"/>
      <c r="B215" s="2"/>
      <c r="C215" s="2"/>
      <c r="D215" s="2"/>
      <c r="E215" s="2"/>
      <c r="F215" s="2"/>
      <c r="G215" s="2"/>
      <c r="H215" s="2"/>
      <c r="I215" s="2"/>
      <c r="J215" s="2"/>
      <c r="K215" s="2"/>
    </row>
    <row r="216" ht="14.25" customHeight="1">
      <c r="A216" s="2"/>
      <c r="B216" s="2"/>
      <c r="C216" s="2"/>
      <c r="D216" s="2"/>
      <c r="E216" s="2"/>
      <c r="F216" s="2"/>
      <c r="G216" s="2"/>
      <c r="H216" s="2"/>
      <c r="I216" s="2"/>
      <c r="J216" s="2"/>
      <c r="K216" s="2"/>
    </row>
    <row r="217" ht="14.25" customHeight="1">
      <c r="A217" s="2"/>
      <c r="B217" s="2"/>
      <c r="C217" s="2"/>
      <c r="D217" s="2"/>
      <c r="E217" s="2"/>
      <c r="F217" s="2"/>
      <c r="G217" s="2"/>
      <c r="H217" s="2"/>
      <c r="I217" s="2"/>
      <c r="J217" s="2"/>
      <c r="K217" s="2"/>
    </row>
    <row r="218" ht="14.25" customHeight="1">
      <c r="A218" s="2"/>
      <c r="B218" s="2"/>
      <c r="C218" s="2"/>
      <c r="D218" s="2"/>
      <c r="E218" s="2"/>
      <c r="F218" s="2"/>
      <c r="G218" s="2"/>
      <c r="H218" s="2"/>
      <c r="I218" s="2"/>
      <c r="J218" s="2"/>
      <c r="K218" s="2"/>
    </row>
    <row r="219" ht="14.25" customHeight="1">
      <c r="A219" s="2"/>
      <c r="B219" s="2"/>
      <c r="C219" s="2"/>
      <c r="D219" s="2"/>
      <c r="E219" s="2"/>
      <c r="F219" s="2"/>
      <c r="G219" s="2"/>
      <c r="H219" s="2"/>
      <c r="I219" s="2"/>
      <c r="J219" s="2"/>
      <c r="K219" s="2"/>
    </row>
    <row r="220" ht="14.25" customHeight="1">
      <c r="A220" s="2"/>
      <c r="B220" s="2"/>
      <c r="C220" s="2"/>
      <c r="D220" s="2"/>
      <c r="E220" s="2"/>
      <c r="F220" s="2"/>
      <c r="G220" s="2"/>
      <c r="H220" s="2"/>
      <c r="I220" s="2"/>
      <c r="J220" s="2"/>
      <c r="K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2:H12">
    <cfRule type="cellIs" dxfId="0" priority="1" operator="equal">
      <formula>"Lulus"</formula>
    </cfRule>
  </conditionalFormatting>
  <conditionalFormatting sqref="H2:H12">
    <cfRule type="cellIs" dxfId="1" priority="2" operator="equal">
      <formula>"Gagal"</formula>
    </cfRule>
  </conditionalFormatting>
  <conditionalFormatting sqref="H2:H12">
    <cfRule type="cellIs" dxfId="2" priority="3" operator="equal">
      <formula>"Diblokir"</formula>
    </cfRule>
  </conditionalFormatting>
  <dataValidations>
    <dataValidation type="list" allowBlank="1" sqref="H2:H12">
      <formula1>"Lulus,Gagal,Diblokir,Belum diuji"</formula1>
    </dataValidation>
  </dataValidations>
  <hyperlinks>
    <hyperlink r:id="rId1" ref="I11"/>
    <hyperlink r:id="rId2" ref="I12"/>
  </hyperlinks>
  <printOptions/>
  <pageMargins bottom="1.0" footer="0.0" header="0.0" left="0.75" right="0.75" top="1.0"/>
  <pageSetup paperSize="9"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30.0"/>
    <col customWidth="1" min="3" max="3" width="75.0"/>
    <col customWidth="1" min="4" max="4" width="14.0"/>
    <col customWidth="1" min="5" max="5" width="60.0"/>
    <col customWidth="1" min="6" max="6" width="8.57"/>
  </cols>
  <sheetData>
    <row r="1" ht="15.0" customHeight="1">
      <c r="A1" s="4" t="s">
        <v>505</v>
      </c>
      <c r="B1" s="4" t="s">
        <v>506</v>
      </c>
      <c r="C1" s="4" t="s">
        <v>507</v>
      </c>
      <c r="D1" s="4" t="s">
        <v>508</v>
      </c>
      <c r="E1" s="4" t="s">
        <v>83</v>
      </c>
    </row>
    <row r="2" ht="58.0" customHeight="1">
      <c r="A2" s="5">
        <v>1.0</v>
      </c>
      <c r="B2" s="5" t="s">
        <v>509</v>
      </c>
      <c r="C2" s="5" t="s">
        <v>510</v>
      </c>
      <c r="D2" s="5" t="s">
        <v>511</v>
      </c>
      <c r="E2" s="11" t="inlineStr">
        <is>
          <t xml:space="preserve">Diperbaiki: menu operasional disembunyikan untuk Bapenda dan aksesnya ditolak server (termasuk lewat alamat langsung); beranda Bapenda = Pengawasan PBJT. Data yang tampil dulu adalah data database pengawasan sendiri, bukan data WP.</t>
        </is>
      </c>
    </row>
    <row r="3" ht="58.0" customHeight="1">
      <c r="A3" s="26">
        <v>2.0</v>
      </c>
      <c r="B3" s="27" t="s">
        <v>512</v>
      </c>
      <c r="C3" s="27" t="s">
        <v>513</v>
      </c>
      <c r="D3" s="26" t="s">
        <v>511</v>
      </c>
      <c r="E3" s="28" t="inlineStr">
        <is>
          <t xml:space="preserve">Ronde 2 (9 Okt): Diperbaiki: hotel yang juga punya restoran (mis. Melati, Nirwana) kini melihat ringkasan restoran (order hari ini, omzet selesai, order berjalan, PBJT restoran bulan ini) di dashboard hotel; tenant restoran memakai dashboard restoran.</t>
        </is>
      </c>
    </row>
    <row r="4" ht="30.75" customHeight="1">
      <c r="A4" s="26">
        <v>3.0</v>
      </c>
      <c r="B4" s="29" t="s">
        <v>515</v>
      </c>
      <c r="C4" s="29" t="s">
        <v>516</v>
      </c>
      <c r="D4" s="28" t="s">
        <v>511</v>
      </c>
      <c r="E4" s="28" t="s">
        <v>517</v>
      </c>
    </row>
    <row r="5" ht="30.75" customHeight="1">
      <c r="A5" s="26">
        <v>4.0</v>
      </c>
      <c r="B5" s="28" t="s">
        <v>518</v>
      </c>
      <c r="C5" s="28" t="s">
        <v>519</v>
      </c>
      <c r="D5" s="28" t="s">
        <v>511</v>
      </c>
      <c r="E5" s="28" t="s">
        <v>520</v>
      </c>
    </row>
    <row r="6" ht="17.25" customHeight="1">
      <c r="A6" s="26">
        <v>5.0</v>
      </c>
      <c r="B6" s="28" t="s">
        <v>521</v>
      </c>
      <c r="C6" s="28" t="s">
        <v>522</v>
      </c>
      <c r="D6" s="28" t="s">
        <v>523</v>
      </c>
      <c r="E6" s="28" t="s">
        <v>524</v>
      </c>
    </row>
    <row r="7" ht="30.75" customHeight="1">
      <c r="A7" s="26">
        <v>6.0</v>
      </c>
      <c r="B7" s="28" t="s">
        <v>525</v>
      </c>
      <c r="C7" s="28" t="s">
        <v>526</v>
      </c>
      <c r="D7" s="28" t="s">
        <v>523</v>
      </c>
      <c r="E7" s="28" t="s">
        <v>527</v>
      </c>
    </row>
    <row r="8" ht="17.25" customHeight="1">
      <c r="A8" s="26">
        <v>7.0</v>
      </c>
      <c r="B8" s="28" t="s">
        <v>528</v>
      </c>
      <c r="C8" s="28" t="s">
        <v>529</v>
      </c>
      <c r="D8" s="28" t="s">
        <v>523</v>
      </c>
      <c r="E8" s="28" t="s">
        <v>530</v>
      </c>
    </row>
    <row r="9" ht="30.75" customHeight="1">
      <c r="A9" s="26">
        <v>8.0</v>
      </c>
      <c r="B9" s="28" t="s">
        <v>531</v>
      </c>
      <c r="C9" s="28" t="s">
        <v>532</v>
      </c>
      <c r="D9" s="28" t="s">
        <v>533</v>
      </c>
      <c r="E9" s="28" t="s">
        <v>534</v>
      </c>
    </row>
    <row r="10" ht="30.75" customHeight="1">
      <c r="A10" s="26">
        <v>9.0</v>
      </c>
      <c r="B10" s="28" t="s">
        <v>189</v>
      </c>
      <c r="C10" s="28" t="s">
        <v>535</v>
      </c>
      <c r="D10" s="28" t="s">
        <v>533</v>
      </c>
      <c r="E10" s="28" t="s">
        <v>536</v>
      </c>
    </row>
    <row r="11" ht="30.75" customHeight="1">
      <c r="A11" s="26">
        <v>10.0</v>
      </c>
      <c r="B11" s="28" t="s">
        <v>537</v>
      </c>
      <c r="C11" s="28" t="s">
        <v>538</v>
      </c>
      <c r="D11" s="28" t="s">
        <v>539</v>
      </c>
      <c r="E11" s="28" t="s">
        <v>540</v>
      </c>
    </row>
    <row r="12" ht="17.25" customHeight="1">
      <c r="A12" s="26">
        <v>11.0</v>
      </c>
      <c r="B12" s="28" t="s">
        <v>541</v>
      </c>
      <c r="C12" s="28" t="s">
        <v>542</v>
      </c>
      <c r="D12" s="28" t="s">
        <v>539</v>
      </c>
      <c r="E12" s="28" t="s">
        <v>543</v>
      </c>
    </row>
    <row r="13" ht="17.25" customHeight="1">
      <c r="A13" s="26">
        <v>12.0</v>
      </c>
      <c r="B13" s="28" t="s">
        <v>544</v>
      </c>
      <c r="C13" s="28" t="s">
        <v>545</v>
      </c>
      <c r="D13" s="28" t="s">
        <v>539</v>
      </c>
      <c r="E13" s="28" t="s">
        <v>546</v>
      </c>
    </row>
    <row r="14" ht="30.75" customHeight="1">
      <c r="A14" s="26">
        <v>13.0</v>
      </c>
      <c r="B14" s="28" t="s">
        <v>547</v>
      </c>
      <c r="C14" s="28" t="s">
        <v>548</v>
      </c>
      <c r="D14" s="28" t="s">
        <v>539</v>
      </c>
      <c r="E14" s="28" t="s">
        <v>549</v>
      </c>
    </row>
    <row r="15" ht="44.25" customHeight="1">
      <c r="A15" s="30">
        <v>14.0</v>
      </c>
      <c r="B15" s="31" t="s">
        <v>550</v>
      </c>
      <c r="C15" s="31" t="s">
        <v>551</v>
      </c>
      <c r="D15" s="28" t="s">
        <v>539</v>
      </c>
      <c r="E15" s="28" t="s">
        <v>552</v>
      </c>
    </row>
    <row r="16" ht="57.75" customHeight="1">
      <c r="A16" s="32">
        <v>15.0</v>
      </c>
      <c r="B16" s="29"/>
      <c r="C16" s="33" t="s">
        <v>553</v>
      </c>
      <c r="D16" s="28" t="s">
        <v>539</v>
      </c>
      <c r="E16" s="28" t="s">
        <v>554</v>
      </c>
    </row>
    <row r="17" ht="14.25" customHeight="1">
      <c r="A17" s="2"/>
      <c r="E17" s="2"/>
    </row>
    <row r="18" ht="14.25" customHeight="1">
      <c r="A18" s="2"/>
      <c r="B18" s="2"/>
      <c r="C18" s="2"/>
      <c r="D18" s="2"/>
      <c r="E18" s="2"/>
    </row>
    <row r="19" ht="14.25" customHeight="1">
      <c r="A19" s="2"/>
      <c r="B19" s="2"/>
      <c r="C19" s="2"/>
      <c r="D19" s="2"/>
      <c r="E19" s="2"/>
    </row>
    <row r="20" ht="14.25" customHeight="1">
      <c r="A20" s="2"/>
      <c r="B20" s="2"/>
      <c r="C20" s="2"/>
      <c r="D20" s="2"/>
      <c r="E20" s="2"/>
    </row>
    <row r="21" ht="14.25" customHeight="1">
      <c r="A21" s="2"/>
      <c r="B21" s="2"/>
      <c r="C21" s="2"/>
      <c r="D21" s="2"/>
      <c r="E21" s="2"/>
    </row>
    <row r="22" ht="14.25" customHeight="1">
      <c r="A22" s="2"/>
      <c r="B22" s="2"/>
      <c r="C22" s="2"/>
      <c r="D22" s="2"/>
      <c r="E22" s="2"/>
    </row>
    <row r="23" ht="14.25" customHeight="1">
      <c r="A23" s="2"/>
      <c r="B23" s="2"/>
      <c r="C23" s="2"/>
      <c r="D23" s="2"/>
      <c r="E23" s="2"/>
    </row>
    <row r="24" ht="14.25" customHeight="1">
      <c r="A24" s="2"/>
      <c r="B24" s="2"/>
      <c r="C24" s="2"/>
      <c r="D24" s="2"/>
      <c r="E24" s="2"/>
    </row>
    <row r="25" ht="14.25" customHeight="1">
      <c r="A25" s="2"/>
      <c r="B25" s="2"/>
      <c r="C25" s="2"/>
      <c r="D25" s="2"/>
      <c r="E25" s="2"/>
    </row>
    <row r="26" ht="14.25" customHeight="1">
      <c r="A26" s="2"/>
      <c r="B26" s="2"/>
      <c r="C26" s="2"/>
      <c r="D26" s="2"/>
      <c r="E26" s="2"/>
    </row>
    <row r="27" ht="14.25" customHeight="1">
      <c r="A27" s="2"/>
      <c r="B27" s="2"/>
      <c r="C27" s="2"/>
      <c r="D27" s="2"/>
      <c r="E27" s="2"/>
    </row>
    <row r="28" ht="14.25" customHeight="1">
      <c r="A28" s="2"/>
      <c r="B28" s="2"/>
      <c r="C28" s="2"/>
      <c r="D28" s="2"/>
      <c r="E28" s="2"/>
    </row>
    <row r="29" ht="14.25" customHeight="1">
      <c r="A29" s="2"/>
      <c r="B29" s="2"/>
      <c r="C29" s="2"/>
      <c r="D29" s="2"/>
      <c r="E29" s="2"/>
    </row>
    <row r="30" ht="14.25" customHeight="1">
      <c r="A30" s="2"/>
      <c r="B30" s="2"/>
      <c r="C30" s="2"/>
      <c r="D30" s="2"/>
      <c r="E30" s="2"/>
    </row>
    <row r="31" ht="14.25" customHeight="1">
      <c r="A31" s="2"/>
      <c r="B31" s="2"/>
      <c r="C31" s="2"/>
      <c r="D31" s="2"/>
      <c r="E31" s="2"/>
    </row>
    <row r="32" ht="14.25" customHeight="1">
      <c r="A32" s="2"/>
      <c r="B32" s="2"/>
      <c r="C32" s="2"/>
      <c r="D32" s="2"/>
      <c r="E32" s="2"/>
    </row>
    <row r="33" ht="14.25" customHeight="1">
      <c r="A33" s="2"/>
      <c r="B33" s="2"/>
      <c r="C33" s="2"/>
      <c r="D33" s="2"/>
      <c r="E33" s="2"/>
    </row>
    <row r="34" ht="14.25" customHeight="1">
      <c r="A34" s="2"/>
      <c r="B34" s="2"/>
      <c r="C34" s="2"/>
      <c r="D34" s="2"/>
      <c r="E34" s="2"/>
    </row>
    <row r="35" ht="14.25" customHeight="1">
      <c r="A35" s="2"/>
      <c r="B35" s="2"/>
      <c r="C35" s="2"/>
      <c r="D35" s="2"/>
      <c r="E35" s="2"/>
    </row>
    <row r="36" ht="14.25" customHeight="1">
      <c r="A36" s="2"/>
      <c r="B36" s="2"/>
      <c r="C36" s="2"/>
      <c r="D36" s="2"/>
      <c r="E36" s="2"/>
    </row>
    <row r="37" ht="14.25" customHeight="1">
      <c r="A37" s="2"/>
      <c r="B37" s="2"/>
      <c r="C37" s="2"/>
      <c r="D37" s="2"/>
      <c r="E37" s="2"/>
    </row>
    <row r="38" ht="14.25" customHeight="1">
      <c r="A38" s="2"/>
      <c r="B38" s="2"/>
      <c r="C38" s="2"/>
      <c r="D38" s="2"/>
      <c r="E38" s="2"/>
    </row>
    <row r="39" ht="14.25" customHeight="1">
      <c r="A39" s="2"/>
      <c r="B39" s="2"/>
      <c r="C39" s="2"/>
      <c r="D39" s="2"/>
      <c r="E39" s="2"/>
    </row>
    <row r="40" ht="14.25" customHeight="1">
      <c r="A40" s="2"/>
      <c r="B40" s="2"/>
      <c r="C40" s="2"/>
      <c r="D40" s="2"/>
      <c r="E40" s="2"/>
    </row>
    <row r="41" ht="14.25" customHeight="1">
      <c r="A41" s="2"/>
      <c r="B41" s="2"/>
      <c r="C41" s="2"/>
      <c r="D41" s="2"/>
      <c r="E41" s="2"/>
    </row>
    <row r="42" ht="14.25" customHeight="1">
      <c r="A42" s="2"/>
      <c r="B42" s="2"/>
      <c r="C42" s="2"/>
      <c r="D42" s="2"/>
      <c r="E42" s="2"/>
    </row>
    <row r="43" ht="14.25" customHeight="1">
      <c r="A43" s="2"/>
      <c r="B43" s="2"/>
      <c r="C43" s="2"/>
      <c r="D43" s="2"/>
      <c r="E43" s="2"/>
    </row>
    <row r="44" ht="14.25" customHeight="1">
      <c r="A44" s="2"/>
      <c r="B44" s="2"/>
      <c r="C44" s="2"/>
      <c r="D44" s="2"/>
      <c r="E44" s="2"/>
    </row>
    <row r="45" ht="14.25" customHeight="1">
      <c r="A45" s="2"/>
      <c r="B45" s="2"/>
      <c r="C45" s="2"/>
      <c r="D45" s="2"/>
      <c r="E45" s="2"/>
    </row>
    <row r="46" ht="14.25" customHeight="1">
      <c r="A46" s="2"/>
      <c r="B46" s="2"/>
      <c r="C46" s="2"/>
      <c r="D46" s="2"/>
      <c r="E46" s="2"/>
    </row>
    <row r="47" ht="14.25" customHeight="1">
      <c r="A47" s="2"/>
      <c r="B47" s="2"/>
      <c r="C47" s="2"/>
      <c r="D47" s="2"/>
      <c r="E47" s="2"/>
    </row>
    <row r="48" ht="14.25" customHeight="1">
      <c r="A48" s="2"/>
      <c r="B48" s="2"/>
      <c r="C48" s="2"/>
      <c r="D48" s="2"/>
      <c r="E48" s="2"/>
    </row>
    <row r="49" ht="14.25" customHeight="1">
      <c r="A49" s="2"/>
      <c r="B49" s="2"/>
      <c r="C49" s="2"/>
      <c r="D49" s="2"/>
      <c r="E49" s="2"/>
    </row>
    <row r="50" ht="14.25" customHeight="1">
      <c r="A50" s="2"/>
      <c r="B50" s="2"/>
      <c r="C50" s="2"/>
      <c r="D50" s="2"/>
      <c r="E50" s="2"/>
    </row>
    <row r="51" ht="14.25" customHeight="1">
      <c r="A51" s="2"/>
      <c r="B51" s="2"/>
      <c r="C51" s="2"/>
      <c r="D51" s="2"/>
      <c r="E51" s="2"/>
    </row>
    <row r="52" ht="14.25" customHeight="1">
      <c r="A52" s="2"/>
      <c r="B52" s="2"/>
      <c r="C52" s="2"/>
      <c r="D52" s="2"/>
      <c r="E52" s="2"/>
    </row>
    <row r="53" ht="14.25" customHeight="1">
      <c r="A53" s="2"/>
      <c r="B53" s="2"/>
      <c r="C53" s="2"/>
      <c r="D53" s="2"/>
      <c r="E53" s="2"/>
    </row>
    <row r="54" ht="14.25" customHeight="1">
      <c r="A54" s="2"/>
      <c r="B54" s="2"/>
      <c r="C54" s="2"/>
      <c r="D54" s="2"/>
      <c r="E54" s="2"/>
    </row>
    <row r="55" ht="14.25" customHeight="1">
      <c r="A55" s="2"/>
      <c r="B55" s="2"/>
      <c r="C55" s="2"/>
      <c r="D55" s="2"/>
      <c r="E55" s="2"/>
    </row>
    <row r="56" ht="14.25" customHeight="1">
      <c r="A56" s="2"/>
      <c r="B56" s="2"/>
      <c r="C56" s="2"/>
      <c r="D56" s="2"/>
      <c r="E56" s="2"/>
    </row>
    <row r="57" ht="14.25" customHeight="1">
      <c r="A57" s="2"/>
      <c r="B57" s="2"/>
      <c r="C57" s="2"/>
      <c r="D57" s="2"/>
      <c r="E57" s="2"/>
    </row>
    <row r="58" ht="14.25" customHeight="1">
      <c r="A58" s="2"/>
      <c r="B58" s="2"/>
      <c r="C58" s="2"/>
      <c r="D58" s="2"/>
      <c r="E58" s="2"/>
    </row>
    <row r="59" ht="14.25" customHeight="1">
      <c r="A59" s="2"/>
      <c r="B59" s="2"/>
      <c r="C59" s="2"/>
      <c r="D59" s="2"/>
      <c r="E59" s="2"/>
    </row>
    <row r="60" ht="14.25" customHeight="1">
      <c r="A60" s="2"/>
      <c r="B60" s="2"/>
      <c r="C60" s="2"/>
      <c r="D60" s="2"/>
      <c r="E60" s="2"/>
    </row>
    <row r="61" ht="14.25" customHeight="1">
      <c r="A61" s="2"/>
      <c r="B61" s="2"/>
      <c r="C61" s="2"/>
      <c r="D61" s="2"/>
      <c r="E61" s="2"/>
    </row>
    <row r="62" ht="14.25" customHeight="1">
      <c r="A62" s="2"/>
      <c r="B62" s="2"/>
      <c r="C62" s="2"/>
      <c r="D62" s="2"/>
      <c r="E62" s="2"/>
    </row>
    <row r="63" ht="14.25" customHeight="1">
      <c r="A63" s="2"/>
      <c r="B63" s="2"/>
      <c r="C63" s="2"/>
      <c r="D63" s="2"/>
      <c r="E63" s="2"/>
    </row>
    <row r="64" ht="14.25" customHeight="1">
      <c r="A64" s="2"/>
      <c r="B64" s="2"/>
      <c r="C64" s="2"/>
      <c r="D64" s="2"/>
      <c r="E64" s="2"/>
    </row>
    <row r="65" ht="14.25" customHeight="1">
      <c r="A65" s="2"/>
      <c r="B65" s="2"/>
      <c r="C65" s="2"/>
      <c r="D65" s="2"/>
      <c r="E65" s="2"/>
    </row>
    <row r="66" ht="14.25" customHeight="1">
      <c r="A66" s="2"/>
      <c r="B66" s="2"/>
      <c r="C66" s="2"/>
      <c r="D66" s="2"/>
      <c r="E66" s="2"/>
    </row>
    <row r="67" ht="14.25" customHeight="1">
      <c r="A67" s="2"/>
      <c r="B67" s="2"/>
      <c r="C67" s="2"/>
      <c r="D67" s="2"/>
      <c r="E67" s="2"/>
    </row>
    <row r="68" ht="14.25" customHeight="1">
      <c r="A68" s="2"/>
      <c r="B68" s="2"/>
      <c r="C68" s="2"/>
      <c r="D68" s="2"/>
      <c r="E68" s="2"/>
    </row>
    <row r="69" ht="14.25" customHeight="1">
      <c r="A69" s="2"/>
      <c r="B69" s="2"/>
      <c r="C69" s="2"/>
      <c r="D69" s="2"/>
      <c r="E69" s="2"/>
    </row>
    <row r="70" ht="14.25" customHeight="1">
      <c r="A70" s="2"/>
      <c r="B70" s="2"/>
      <c r="C70" s="2"/>
      <c r="D70" s="2"/>
      <c r="E70" s="2"/>
    </row>
    <row r="71" ht="14.25" customHeight="1">
      <c r="A71" s="2"/>
      <c r="B71" s="2"/>
      <c r="C71" s="2"/>
      <c r="D71" s="2"/>
      <c r="E71" s="2"/>
    </row>
    <row r="72" ht="14.25" customHeight="1">
      <c r="A72" s="2"/>
      <c r="B72" s="2"/>
      <c r="C72" s="2"/>
      <c r="D72" s="2"/>
      <c r="E72" s="2"/>
    </row>
    <row r="73" ht="14.25" customHeight="1">
      <c r="A73" s="2"/>
      <c r="B73" s="2"/>
      <c r="C73" s="2"/>
      <c r="D73" s="2"/>
      <c r="E73" s="2"/>
    </row>
    <row r="74" ht="14.25" customHeight="1">
      <c r="A74" s="2"/>
      <c r="B74" s="2"/>
      <c r="C74" s="2"/>
      <c r="D74" s="2"/>
      <c r="E74" s="2"/>
    </row>
    <row r="75" ht="14.25" customHeight="1">
      <c r="A75" s="2"/>
      <c r="B75" s="2"/>
      <c r="C75" s="2"/>
      <c r="D75" s="2"/>
      <c r="E75" s="2"/>
    </row>
    <row r="76" ht="14.25" customHeight="1">
      <c r="A76" s="2"/>
      <c r="B76" s="2"/>
      <c r="C76" s="2"/>
      <c r="D76" s="2"/>
      <c r="E76" s="2"/>
    </row>
    <row r="77" ht="14.25" customHeight="1">
      <c r="A77" s="2"/>
      <c r="B77" s="2"/>
      <c r="C77" s="2"/>
      <c r="D77" s="2"/>
      <c r="E77" s="2"/>
    </row>
    <row r="78" ht="14.25" customHeight="1">
      <c r="A78" s="2"/>
      <c r="B78" s="2"/>
      <c r="C78" s="2"/>
      <c r="D78" s="2"/>
      <c r="E78" s="2"/>
    </row>
    <row r="79" ht="14.25" customHeight="1">
      <c r="A79" s="2"/>
      <c r="B79" s="2"/>
      <c r="C79" s="2"/>
      <c r="D79" s="2"/>
      <c r="E79" s="2"/>
    </row>
    <row r="80" ht="14.25" customHeight="1">
      <c r="A80" s="2"/>
      <c r="B80" s="2"/>
      <c r="C80" s="2"/>
      <c r="D80" s="2"/>
      <c r="E80" s="2"/>
    </row>
    <row r="81" ht="14.25" customHeight="1">
      <c r="A81" s="2"/>
      <c r="B81" s="2"/>
      <c r="C81" s="2"/>
      <c r="D81" s="2"/>
      <c r="E81" s="2"/>
    </row>
    <row r="82" ht="14.25" customHeight="1">
      <c r="A82" s="2"/>
      <c r="B82" s="2"/>
      <c r="C82" s="2"/>
      <c r="D82" s="2"/>
      <c r="E82" s="2"/>
    </row>
    <row r="83" ht="14.25" customHeight="1">
      <c r="A83" s="2"/>
      <c r="B83" s="2"/>
      <c r="C83" s="2"/>
      <c r="D83" s="2"/>
      <c r="E83" s="2"/>
    </row>
    <row r="84" ht="14.25" customHeight="1">
      <c r="A84" s="2"/>
      <c r="B84" s="2"/>
      <c r="C84" s="2"/>
      <c r="D84" s="2"/>
      <c r="E84" s="2"/>
    </row>
    <row r="85" ht="14.25" customHeight="1">
      <c r="A85" s="2"/>
      <c r="B85" s="2"/>
      <c r="C85" s="2"/>
      <c r="D85" s="2"/>
      <c r="E85" s="2"/>
    </row>
    <row r="86" ht="14.25" customHeight="1">
      <c r="A86" s="2"/>
      <c r="B86" s="2"/>
      <c r="C86" s="2"/>
      <c r="D86" s="2"/>
      <c r="E86" s="2"/>
    </row>
    <row r="87" ht="14.25" customHeight="1">
      <c r="A87" s="2"/>
      <c r="B87" s="2"/>
      <c r="C87" s="2"/>
      <c r="D87" s="2"/>
      <c r="E87" s="2"/>
    </row>
    <row r="88" ht="14.25" customHeight="1">
      <c r="A88" s="2"/>
      <c r="B88" s="2"/>
      <c r="C88" s="2"/>
      <c r="D88" s="2"/>
      <c r="E88" s="2"/>
    </row>
    <row r="89" ht="14.25" customHeight="1">
      <c r="A89" s="2"/>
      <c r="B89" s="2"/>
      <c r="C89" s="2"/>
      <c r="D89" s="2"/>
      <c r="E89" s="2"/>
    </row>
    <row r="90" ht="14.25" customHeight="1">
      <c r="A90" s="2"/>
      <c r="B90" s="2"/>
      <c r="C90" s="2"/>
      <c r="D90" s="2"/>
      <c r="E90" s="2"/>
    </row>
    <row r="91" ht="14.25" customHeight="1">
      <c r="A91" s="2"/>
      <c r="B91" s="2"/>
      <c r="C91" s="2"/>
      <c r="D91" s="2"/>
      <c r="E91" s="2"/>
    </row>
    <row r="92" ht="14.25" customHeight="1">
      <c r="A92" s="2"/>
      <c r="B92" s="2"/>
      <c r="C92" s="2"/>
      <c r="D92" s="2"/>
      <c r="E92" s="2"/>
    </row>
    <row r="93" ht="14.25" customHeight="1">
      <c r="A93" s="2"/>
      <c r="B93" s="2"/>
      <c r="C93" s="2"/>
      <c r="D93" s="2"/>
      <c r="E93" s="2"/>
    </row>
    <row r="94" ht="14.25" customHeight="1">
      <c r="A94" s="2"/>
      <c r="B94" s="2"/>
      <c r="C94" s="2"/>
      <c r="D94" s="2"/>
      <c r="E94" s="2"/>
    </row>
    <row r="95" ht="14.25" customHeight="1">
      <c r="A95" s="2"/>
      <c r="B95" s="2"/>
      <c r="C95" s="2"/>
      <c r="D95" s="2"/>
      <c r="E95" s="2"/>
    </row>
    <row r="96" ht="14.25" customHeight="1">
      <c r="A96" s="2"/>
      <c r="B96" s="2"/>
      <c r="C96" s="2"/>
      <c r="D96" s="2"/>
      <c r="E96" s="2"/>
    </row>
    <row r="97" ht="14.25" customHeight="1">
      <c r="A97" s="2"/>
      <c r="B97" s="2"/>
      <c r="C97" s="2"/>
      <c r="D97" s="2"/>
      <c r="E97" s="2"/>
    </row>
    <row r="98" ht="14.25" customHeight="1">
      <c r="A98" s="2"/>
      <c r="B98" s="2"/>
      <c r="C98" s="2"/>
      <c r="D98" s="2"/>
      <c r="E98" s="2"/>
    </row>
    <row r="99" ht="14.25" customHeight="1">
      <c r="A99" s="2"/>
      <c r="B99" s="2"/>
      <c r="C99" s="2"/>
      <c r="D99" s="2"/>
      <c r="E99" s="2"/>
    </row>
    <row r="100" ht="14.25" customHeight="1">
      <c r="A100" s="2"/>
      <c r="B100" s="2"/>
      <c r="C100" s="2"/>
      <c r="D100" s="2"/>
      <c r="E100" s="2"/>
    </row>
    <row r="101" ht="14.25" customHeight="1">
      <c r="A101" s="2"/>
      <c r="B101" s="2"/>
      <c r="C101" s="2"/>
      <c r="D101" s="2"/>
      <c r="E101" s="2"/>
    </row>
    <row r="102" ht="14.25" customHeight="1">
      <c r="A102" s="2"/>
      <c r="B102" s="2"/>
      <c r="C102" s="2"/>
      <c r="D102" s="2"/>
      <c r="E102" s="2"/>
    </row>
    <row r="103" ht="14.25" customHeight="1">
      <c r="A103" s="2"/>
      <c r="B103" s="2"/>
      <c r="C103" s="2"/>
      <c r="D103" s="2"/>
      <c r="E103" s="2"/>
    </row>
    <row r="104" ht="14.25" customHeight="1">
      <c r="A104" s="2"/>
      <c r="B104" s="2"/>
      <c r="C104" s="2"/>
      <c r="D104" s="2"/>
      <c r="E104" s="2"/>
    </row>
    <row r="105" ht="14.25" customHeight="1">
      <c r="A105" s="2"/>
      <c r="B105" s="2"/>
      <c r="C105" s="2"/>
      <c r="D105" s="2"/>
      <c r="E105" s="2"/>
    </row>
    <row r="106" ht="14.25" customHeight="1">
      <c r="A106" s="2"/>
      <c r="B106" s="2"/>
      <c r="C106" s="2"/>
      <c r="D106" s="2"/>
      <c r="E106" s="2"/>
    </row>
    <row r="107" ht="14.25" customHeight="1">
      <c r="A107" s="2"/>
      <c r="B107" s="2"/>
      <c r="C107" s="2"/>
      <c r="D107" s="2"/>
      <c r="E107" s="2"/>
    </row>
    <row r="108" ht="14.25" customHeight="1">
      <c r="A108" s="2"/>
      <c r="B108" s="2"/>
      <c r="C108" s="2"/>
      <c r="D108" s="2"/>
      <c r="E108" s="2"/>
    </row>
    <row r="109" ht="14.25" customHeight="1">
      <c r="A109" s="2"/>
      <c r="B109" s="2"/>
      <c r="C109" s="2"/>
      <c r="D109" s="2"/>
      <c r="E109" s="2"/>
    </row>
    <row r="110" ht="14.25" customHeight="1">
      <c r="A110" s="2"/>
      <c r="B110" s="2"/>
      <c r="C110" s="2"/>
      <c r="D110" s="2"/>
      <c r="E110" s="2"/>
    </row>
    <row r="111" ht="14.25" customHeight="1">
      <c r="A111" s="2"/>
      <c r="B111" s="2"/>
      <c r="C111" s="2"/>
      <c r="D111" s="2"/>
      <c r="E111" s="2"/>
    </row>
    <row r="112" ht="14.25" customHeight="1">
      <c r="A112" s="2"/>
      <c r="B112" s="2"/>
      <c r="C112" s="2"/>
      <c r="D112" s="2"/>
      <c r="E112" s="2"/>
    </row>
    <row r="113" ht="14.25" customHeight="1">
      <c r="A113" s="2"/>
      <c r="B113" s="2"/>
      <c r="C113" s="2"/>
      <c r="D113" s="2"/>
      <c r="E113" s="2"/>
    </row>
    <row r="114" ht="14.25" customHeight="1">
      <c r="A114" s="2"/>
      <c r="B114" s="2"/>
      <c r="C114" s="2"/>
      <c r="D114" s="2"/>
      <c r="E114" s="2"/>
    </row>
    <row r="115" ht="14.25" customHeight="1">
      <c r="A115" s="2"/>
      <c r="B115" s="2"/>
      <c r="C115" s="2"/>
      <c r="D115" s="2"/>
      <c r="E115" s="2"/>
    </row>
    <row r="116" ht="14.25" customHeight="1">
      <c r="A116" s="2"/>
      <c r="B116" s="2"/>
      <c r="C116" s="2"/>
      <c r="D116" s="2"/>
      <c r="E116" s="2"/>
    </row>
    <row r="117" ht="14.25" customHeight="1">
      <c r="A117" s="2"/>
      <c r="B117" s="2"/>
      <c r="C117" s="2"/>
      <c r="D117" s="2"/>
      <c r="E117" s="2"/>
    </row>
    <row r="118" ht="14.25" customHeight="1">
      <c r="A118" s="2"/>
      <c r="B118" s="2"/>
      <c r="C118" s="2"/>
      <c r="D118" s="2"/>
      <c r="E118" s="2"/>
    </row>
    <row r="119" ht="14.25" customHeight="1">
      <c r="A119" s="2"/>
      <c r="B119" s="2"/>
      <c r="C119" s="2"/>
      <c r="D119" s="2"/>
      <c r="E119" s="2"/>
    </row>
    <row r="120" ht="14.25" customHeight="1">
      <c r="A120" s="2"/>
      <c r="B120" s="2"/>
      <c r="C120" s="2"/>
      <c r="D120" s="2"/>
      <c r="E120" s="2"/>
    </row>
    <row r="121" ht="14.25" customHeight="1">
      <c r="A121" s="2"/>
      <c r="B121" s="2"/>
      <c r="C121" s="2"/>
      <c r="D121" s="2"/>
      <c r="E121" s="2"/>
    </row>
    <row r="122" ht="14.25" customHeight="1">
      <c r="A122" s="2"/>
      <c r="B122" s="2"/>
      <c r="C122" s="2"/>
      <c r="D122" s="2"/>
      <c r="E122" s="2"/>
    </row>
    <row r="123" ht="14.25" customHeight="1">
      <c r="A123" s="2"/>
      <c r="B123" s="2"/>
      <c r="C123" s="2"/>
      <c r="D123" s="2"/>
      <c r="E123" s="2"/>
    </row>
    <row r="124" ht="14.25" customHeight="1">
      <c r="A124" s="2"/>
      <c r="B124" s="2"/>
      <c r="C124" s="2"/>
      <c r="D124" s="2"/>
      <c r="E124" s="2"/>
    </row>
    <row r="125" ht="14.25" customHeight="1">
      <c r="A125" s="2"/>
      <c r="B125" s="2"/>
      <c r="C125" s="2"/>
      <c r="D125" s="2"/>
      <c r="E125" s="2"/>
    </row>
    <row r="126" ht="14.25" customHeight="1">
      <c r="A126" s="2"/>
      <c r="B126" s="2"/>
      <c r="C126" s="2"/>
      <c r="D126" s="2"/>
      <c r="E126" s="2"/>
    </row>
    <row r="127" ht="14.25" customHeight="1">
      <c r="A127" s="2"/>
      <c r="B127" s="2"/>
      <c r="C127" s="2"/>
      <c r="D127" s="2"/>
      <c r="E127" s="2"/>
    </row>
    <row r="128" ht="14.25" customHeight="1">
      <c r="A128" s="2"/>
      <c r="B128" s="2"/>
      <c r="C128" s="2"/>
      <c r="D128" s="2"/>
      <c r="E128" s="2"/>
    </row>
    <row r="129" ht="14.25" customHeight="1">
      <c r="A129" s="2"/>
      <c r="B129" s="2"/>
      <c r="C129" s="2"/>
      <c r="D129" s="2"/>
      <c r="E129" s="2"/>
    </row>
    <row r="130" ht="14.25" customHeight="1">
      <c r="A130" s="2"/>
      <c r="B130" s="2"/>
      <c r="C130" s="2"/>
      <c r="D130" s="2"/>
      <c r="E130" s="2"/>
    </row>
    <row r="131" ht="14.25" customHeight="1">
      <c r="A131" s="2"/>
      <c r="B131" s="2"/>
      <c r="C131" s="2"/>
      <c r="D131" s="2"/>
      <c r="E131" s="2"/>
    </row>
    <row r="132" ht="14.25" customHeight="1">
      <c r="A132" s="2"/>
      <c r="B132" s="2"/>
      <c r="C132" s="2"/>
      <c r="D132" s="2"/>
      <c r="E132" s="2"/>
    </row>
    <row r="133" ht="14.25" customHeight="1">
      <c r="A133" s="2"/>
      <c r="B133" s="2"/>
      <c r="C133" s="2"/>
      <c r="D133" s="2"/>
      <c r="E133" s="2"/>
    </row>
    <row r="134" ht="14.25" customHeight="1">
      <c r="A134" s="2"/>
      <c r="B134" s="2"/>
      <c r="C134" s="2"/>
      <c r="D134" s="2"/>
      <c r="E134" s="2"/>
    </row>
    <row r="135" ht="14.25" customHeight="1">
      <c r="A135" s="2"/>
      <c r="B135" s="2"/>
      <c r="C135" s="2"/>
      <c r="D135" s="2"/>
      <c r="E135" s="2"/>
    </row>
    <row r="136" ht="14.25" customHeight="1">
      <c r="A136" s="2"/>
      <c r="B136" s="2"/>
      <c r="C136" s="2"/>
      <c r="D136" s="2"/>
      <c r="E136" s="2"/>
    </row>
    <row r="137" ht="14.25" customHeight="1">
      <c r="A137" s="2"/>
      <c r="B137" s="2"/>
      <c r="C137" s="2"/>
      <c r="D137" s="2"/>
      <c r="E137" s="2"/>
    </row>
    <row r="138" ht="14.25" customHeight="1">
      <c r="A138" s="2"/>
      <c r="B138" s="2"/>
      <c r="C138" s="2"/>
      <c r="D138" s="2"/>
      <c r="E138" s="2"/>
    </row>
    <row r="139" ht="14.25" customHeight="1">
      <c r="A139" s="2"/>
      <c r="B139" s="2"/>
      <c r="C139" s="2"/>
      <c r="D139" s="2"/>
      <c r="E139" s="2"/>
    </row>
    <row r="140" ht="14.25" customHeight="1">
      <c r="A140" s="2"/>
      <c r="B140" s="2"/>
      <c r="C140" s="2"/>
      <c r="D140" s="2"/>
      <c r="E140" s="2"/>
    </row>
    <row r="141" ht="14.25" customHeight="1">
      <c r="A141" s="2"/>
      <c r="B141" s="2"/>
      <c r="C141" s="2"/>
      <c r="D141" s="2"/>
      <c r="E141" s="2"/>
    </row>
    <row r="142" ht="14.25" customHeight="1">
      <c r="A142" s="2"/>
      <c r="B142" s="2"/>
      <c r="C142" s="2"/>
      <c r="D142" s="2"/>
      <c r="E142" s="2"/>
    </row>
    <row r="143" ht="14.25" customHeight="1">
      <c r="A143" s="2"/>
      <c r="B143" s="2"/>
      <c r="C143" s="2"/>
      <c r="D143" s="2"/>
      <c r="E143" s="2"/>
    </row>
    <row r="144" ht="14.25" customHeight="1">
      <c r="A144" s="2"/>
      <c r="B144" s="2"/>
      <c r="C144" s="2"/>
      <c r="D144" s="2"/>
      <c r="E144" s="2"/>
    </row>
    <row r="145" ht="14.25" customHeight="1">
      <c r="A145" s="2"/>
      <c r="B145" s="2"/>
      <c r="C145" s="2"/>
      <c r="D145" s="2"/>
      <c r="E145" s="2"/>
    </row>
    <row r="146" ht="14.25" customHeight="1">
      <c r="A146" s="2"/>
      <c r="B146" s="2"/>
      <c r="C146" s="2"/>
      <c r="D146" s="2"/>
      <c r="E146" s="2"/>
    </row>
    <row r="147" ht="14.25" customHeight="1">
      <c r="A147" s="2"/>
      <c r="B147" s="2"/>
      <c r="C147" s="2"/>
      <c r="D147" s="2"/>
      <c r="E147" s="2"/>
    </row>
    <row r="148" ht="14.25" customHeight="1">
      <c r="A148" s="2"/>
      <c r="B148" s="2"/>
      <c r="C148" s="2"/>
      <c r="D148" s="2"/>
      <c r="E148" s="2"/>
    </row>
    <row r="149" ht="14.25" customHeight="1">
      <c r="A149" s="2"/>
      <c r="B149" s="2"/>
      <c r="C149" s="2"/>
      <c r="D149" s="2"/>
      <c r="E149" s="2"/>
    </row>
    <row r="150" ht="14.25" customHeight="1">
      <c r="A150" s="2"/>
      <c r="B150" s="2"/>
      <c r="C150" s="2"/>
      <c r="D150" s="2"/>
      <c r="E150" s="2"/>
    </row>
    <row r="151" ht="14.25" customHeight="1">
      <c r="A151" s="2"/>
      <c r="B151" s="2"/>
      <c r="C151" s="2"/>
      <c r="D151" s="2"/>
      <c r="E151" s="2"/>
    </row>
    <row r="152" ht="14.25" customHeight="1">
      <c r="A152" s="2"/>
      <c r="B152" s="2"/>
      <c r="C152" s="2"/>
      <c r="D152" s="2"/>
      <c r="E152" s="2"/>
    </row>
    <row r="153" ht="14.25" customHeight="1">
      <c r="A153" s="2"/>
      <c r="B153" s="2"/>
      <c r="C153" s="2"/>
      <c r="D153" s="2"/>
      <c r="E153" s="2"/>
    </row>
    <row r="154" ht="14.25" customHeight="1">
      <c r="A154" s="2"/>
      <c r="B154" s="2"/>
      <c r="C154" s="2"/>
      <c r="D154" s="2"/>
      <c r="E154" s="2"/>
    </row>
    <row r="155" ht="14.25" customHeight="1">
      <c r="A155" s="2"/>
      <c r="B155" s="2"/>
      <c r="C155" s="2"/>
      <c r="D155" s="2"/>
      <c r="E155" s="2"/>
    </row>
    <row r="156" ht="14.25" customHeight="1">
      <c r="A156" s="2"/>
      <c r="B156" s="2"/>
      <c r="C156" s="2"/>
      <c r="D156" s="2"/>
      <c r="E156" s="2"/>
    </row>
    <row r="157" ht="14.25" customHeight="1">
      <c r="A157" s="2"/>
      <c r="B157" s="2"/>
      <c r="C157" s="2"/>
      <c r="D157" s="2"/>
      <c r="E157" s="2"/>
    </row>
    <row r="158" ht="14.25" customHeight="1">
      <c r="A158" s="2"/>
      <c r="B158" s="2"/>
      <c r="C158" s="2"/>
      <c r="D158" s="2"/>
      <c r="E158" s="2"/>
    </row>
    <row r="159" ht="14.25" customHeight="1">
      <c r="A159" s="2"/>
      <c r="B159" s="2"/>
      <c r="C159" s="2"/>
      <c r="D159" s="2"/>
      <c r="E159" s="2"/>
    </row>
    <row r="160" ht="14.25" customHeight="1">
      <c r="A160" s="2"/>
      <c r="B160" s="2"/>
      <c r="C160" s="2"/>
      <c r="D160" s="2"/>
      <c r="E160" s="2"/>
    </row>
    <row r="161" ht="14.25" customHeight="1">
      <c r="A161" s="2"/>
      <c r="B161" s="2"/>
      <c r="C161" s="2"/>
      <c r="D161" s="2"/>
      <c r="E161" s="2"/>
    </row>
    <row r="162" ht="14.25" customHeight="1">
      <c r="A162" s="2"/>
      <c r="B162" s="2"/>
      <c r="C162" s="2"/>
      <c r="D162" s="2"/>
      <c r="E162" s="2"/>
    </row>
    <row r="163" ht="14.25" customHeight="1">
      <c r="A163" s="2"/>
      <c r="B163" s="2"/>
      <c r="C163" s="2"/>
      <c r="D163" s="2"/>
      <c r="E163" s="2"/>
    </row>
    <row r="164" ht="14.25" customHeight="1">
      <c r="A164" s="2"/>
      <c r="B164" s="2"/>
      <c r="C164" s="2"/>
      <c r="D164" s="2"/>
      <c r="E164" s="2"/>
    </row>
    <row r="165" ht="14.25" customHeight="1">
      <c r="A165" s="2"/>
      <c r="B165" s="2"/>
      <c r="C165" s="2"/>
      <c r="D165" s="2"/>
      <c r="E165" s="2"/>
    </row>
    <row r="166" ht="14.25" customHeight="1">
      <c r="A166" s="2"/>
      <c r="B166" s="2"/>
      <c r="C166" s="2"/>
      <c r="D166" s="2"/>
      <c r="E166" s="2"/>
    </row>
    <row r="167" ht="14.25" customHeight="1">
      <c r="A167" s="2"/>
      <c r="B167" s="2"/>
      <c r="C167" s="2"/>
      <c r="D167" s="2"/>
      <c r="E167" s="2"/>
    </row>
    <row r="168" ht="14.25" customHeight="1">
      <c r="A168" s="2"/>
      <c r="B168" s="2"/>
      <c r="C168" s="2"/>
      <c r="D168" s="2"/>
      <c r="E168" s="2"/>
    </row>
    <row r="169" ht="14.25" customHeight="1">
      <c r="A169" s="2"/>
      <c r="B169" s="2"/>
      <c r="C169" s="2"/>
      <c r="D169" s="2"/>
      <c r="E169" s="2"/>
    </row>
    <row r="170" ht="14.25" customHeight="1">
      <c r="A170" s="2"/>
      <c r="B170" s="2"/>
      <c r="C170" s="2"/>
      <c r="D170" s="2"/>
      <c r="E170" s="2"/>
    </row>
    <row r="171" ht="14.25" customHeight="1">
      <c r="A171" s="2"/>
      <c r="B171" s="2"/>
      <c r="C171" s="2"/>
      <c r="D171" s="2"/>
      <c r="E171" s="2"/>
    </row>
    <row r="172" ht="14.25" customHeight="1">
      <c r="A172" s="2"/>
      <c r="B172" s="2"/>
      <c r="C172" s="2"/>
      <c r="D172" s="2"/>
      <c r="E172" s="2"/>
    </row>
    <row r="173" ht="14.25" customHeight="1">
      <c r="A173" s="2"/>
      <c r="B173" s="2"/>
      <c r="C173" s="2"/>
      <c r="D173" s="2"/>
      <c r="E173" s="2"/>
    </row>
    <row r="174" ht="14.25" customHeight="1">
      <c r="A174" s="2"/>
      <c r="B174" s="2"/>
      <c r="C174" s="2"/>
      <c r="D174" s="2"/>
      <c r="E174" s="2"/>
    </row>
    <row r="175" ht="14.25" customHeight="1">
      <c r="A175" s="2"/>
      <c r="B175" s="2"/>
      <c r="C175" s="2"/>
      <c r="D175" s="2"/>
      <c r="E175" s="2"/>
    </row>
    <row r="176" ht="14.25" customHeight="1">
      <c r="A176" s="2"/>
      <c r="B176" s="2"/>
      <c r="C176" s="2"/>
      <c r="D176" s="2"/>
      <c r="E176" s="2"/>
    </row>
    <row r="177" ht="14.25" customHeight="1">
      <c r="A177" s="2"/>
      <c r="B177" s="2"/>
      <c r="C177" s="2"/>
      <c r="D177" s="2"/>
      <c r="E177" s="2"/>
    </row>
    <row r="178" ht="14.25" customHeight="1">
      <c r="A178" s="2"/>
      <c r="B178" s="2"/>
      <c r="C178" s="2"/>
      <c r="D178" s="2"/>
      <c r="E178" s="2"/>
    </row>
    <row r="179" ht="14.25" customHeight="1">
      <c r="A179" s="2"/>
      <c r="B179" s="2"/>
      <c r="C179" s="2"/>
      <c r="D179" s="2"/>
      <c r="E179" s="2"/>
    </row>
    <row r="180" ht="14.25" customHeight="1">
      <c r="A180" s="2"/>
      <c r="B180" s="2"/>
      <c r="C180" s="2"/>
      <c r="D180" s="2"/>
      <c r="E180" s="2"/>
    </row>
    <row r="181" ht="14.25" customHeight="1">
      <c r="A181" s="2"/>
      <c r="B181" s="2"/>
      <c r="C181" s="2"/>
      <c r="D181" s="2"/>
      <c r="E181" s="2"/>
    </row>
    <row r="182" ht="14.25" customHeight="1">
      <c r="A182" s="2"/>
      <c r="B182" s="2"/>
      <c r="C182" s="2"/>
      <c r="D182" s="2"/>
      <c r="E182" s="2"/>
    </row>
    <row r="183" ht="14.25" customHeight="1">
      <c r="A183" s="2"/>
      <c r="B183" s="2"/>
      <c r="C183" s="2"/>
      <c r="D183" s="2"/>
      <c r="E183" s="2"/>
    </row>
    <row r="184" ht="14.25" customHeight="1">
      <c r="A184" s="2"/>
      <c r="B184" s="2"/>
      <c r="C184" s="2"/>
      <c r="D184" s="2"/>
      <c r="E184" s="2"/>
    </row>
    <row r="185" ht="14.25" customHeight="1">
      <c r="A185" s="2"/>
      <c r="B185" s="2"/>
      <c r="C185" s="2"/>
      <c r="D185" s="2"/>
      <c r="E185" s="2"/>
    </row>
    <row r="186" ht="14.25" customHeight="1">
      <c r="A186" s="2"/>
      <c r="B186" s="2"/>
      <c r="C186" s="2"/>
      <c r="D186" s="2"/>
      <c r="E186" s="2"/>
    </row>
    <row r="187" ht="14.25" customHeight="1">
      <c r="A187" s="2"/>
      <c r="B187" s="2"/>
      <c r="C187" s="2"/>
      <c r="D187" s="2"/>
      <c r="E187" s="2"/>
    </row>
    <row r="188" ht="14.25" customHeight="1">
      <c r="A188" s="2"/>
      <c r="B188" s="2"/>
      <c r="C188" s="2"/>
      <c r="D188" s="2"/>
      <c r="E188" s="2"/>
    </row>
    <row r="189" ht="14.25" customHeight="1">
      <c r="A189" s="2"/>
      <c r="B189" s="2"/>
      <c r="C189" s="2"/>
      <c r="D189" s="2"/>
      <c r="E189" s="2"/>
    </row>
    <row r="190" ht="14.25" customHeight="1">
      <c r="A190" s="2"/>
      <c r="B190" s="2"/>
      <c r="C190" s="2"/>
      <c r="D190" s="2"/>
      <c r="E190" s="2"/>
    </row>
    <row r="191" ht="14.25" customHeight="1">
      <c r="A191" s="2"/>
      <c r="B191" s="2"/>
      <c r="C191" s="2"/>
      <c r="D191" s="2"/>
      <c r="E191" s="2"/>
    </row>
    <row r="192" ht="14.25" customHeight="1">
      <c r="A192" s="2"/>
      <c r="B192" s="2"/>
      <c r="C192" s="2"/>
      <c r="D192" s="2"/>
      <c r="E192" s="2"/>
    </row>
    <row r="193" ht="14.25" customHeight="1">
      <c r="A193" s="2"/>
      <c r="B193" s="2"/>
      <c r="C193" s="2"/>
      <c r="D193" s="2"/>
      <c r="E193" s="2"/>
    </row>
    <row r="194" ht="14.25" customHeight="1">
      <c r="A194" s="2"/>
      <c r="B194" s="2"/>
      <c r="C194" s="2"/>
      <c r="D194" s="2"/>
      <c r="E194" s="2"/>
    </row>
    <row r="195" ht="14.25" customHeight="1">
      <c r="A195" s="2"/>
      <c r="B195" s="2"/>
      <c r="C195" s="2"/>
      <c r="D195" s="2"/>
      <c r="E195" s="2"/>
    </row>
    <row r="196" ht="14.25" customHeight="1">
      <c r="A196" s="2"/>
      <c r="B196" s="2"/>
      <c r="C196" s="2"/>
      <c r="D196" s="2"/>
      <c r="E196" s="2"/>
    </row>
    <row r="197" ht="14.25" customHeight="1">
      <c r="A197" s="2"/>
      <c r="B197" s="2"/>
      <c r="C197" s="2"/>
      <c r="D197" s="2"/>
      <c r="E197" s="2"/>
    </row>
    <row r="198" ht="14.25" customHeight="1">
      <c r="A198" s="2"/>
      <c r="B198" s="2"/>
      <c r="C198" s="2"/>
      <c r="D198" s="2"/>
      <c r="E198" s="2"/>
    </row>
    <row r="199" ht="14.25" customHeight="1">
      <c r="A199" s="2"/>
      <c r="B199" s="2"/>
      <c r="C199" s="2"/>
      <c r="D199" s="2"/>
      <c r="E199" s="2"/>
    </row>
    <row r="200" ht="14.25" customHeight="1">
      <c r="A200" s="2"/>
      <c r="B200" s="2"/>
      <c r="C200" s="2"/>
      <c r="D200" s="2"/>
      <c r="E200" s="2"/>
    </row>
    <row r="201" ht="14.25" customHeight="1">
      <c r="A201" s="2"/>
      <c r="B201" s="2"/>
      <c r="C201" s="2"/>
      <c r="D201" s="2"/>
      <c r="E201" s="2"/>
    </row>
    <row r="202" ht="14.25" customHeight="1">
      <c r="A202" s="2"/>
      <c r="B202" s="2"/>
      <c r="C202" s="2"/>
      <c r="D202" s="2"/>
      <c r="E202" s="2"/>
    </row>
    <row r="203" ht="14.25" customHeight="1">
      <c r="A203" s="2"/>
      <c r="B203" s="2"/>
      <c r="C203" s="2"/>
      <c r="D203" s="2"/>
      <c r="E203" s="2"/>
    </row>
    <row r="204" ht="14.25" customHeight="1">
      <c r="A204" s="2"/>
      <c r="B204" s="2"/>
      <c r="C204" s="2"/>
      <c r="D204" s="2"/>
      <c r="E204" s="2"/>
    </row>
    <row r="205" ht="14.25" customHeight="1">
      <c r="A205" s="2"/>
      <c r="B205" s="2"/>
      <c r="C205" s="2"/>
      <c r="D205" s="2"/>
      <c r="E205" s="2"/>
    </row>
    <row r="206" ht="14.25" customHeight="1">
      <c r="A206" s="2"/>
      <c r="B206" s="2"/>
      <c r="C206" s="2"/>
      <c r="D206" s="2"/>
      <c r="E206" s="2"/>
    </row>
    <row r="207" ht="14.25" customHeight="1">
      <c r="A207" s="2"/>
      <c r="B207" s="2"/>
      <c r="C207" s="2"/>
      <c r="D207" s="2"/>
      <c r="E207" s="2"/>
    </row>
    <row r="208" ht="14.25" customHeight="1">
      <c r="A208" s="2"/>
      <c r="B208" s="2"/>
      <c r="C208" s="2"/>
      <c r="D208" s="2"/>
      <c r="E208" s="2"/>
    </row>
    <row r="209" ht="14.25" customHeight="1">
      <c r="A209" s="2"/>
      <c r="B209" s="2"/>
      <c r="C209" s="2"/>
      <c r="D209" s="2"/>
      <c r="E209" s="2"/>
    </row>
    <row r="210" ht="14.25" customHeight="1">
      <c r="A210" s="2"/>
      <c r="B210" s="2"/>
      <c r="C210" s="2"/>
      <c r="D210" s="2"/>
      <c r="E210" s="2"/>
    </row>
    <row r="211" ht="14.25" customHeight="1">
      <c r="A211" s="2"/>
      <c r="B211" s="2"/>
      <c r="C211" s="2"/>
      <c r="D211" s="2"/>
      <c r="E211" s="2"/>
    </row>
    <row r="212" ht="14.25" customHeight="1">
      <c r="A212" s="2"/>
      <c r="B212" s="2"/>
      <c r="C212" s="2"/>
      <c r="D212" s="2"/>
      <c r="E212" s="2"/>
    </row>
    <row r="213" ht="14.25" customHeight="1">
      <c r="A213" s="2"/>
      <c r="B213" s="2"/>
      <c r="C213" s="2"/>
      <c r="D213" s="2"/>
      <c r="E213" s="2"/>
    </row>
    <row r="214" ht="14.25" customHeight="1">
      <c r="A214" s="2"/>
      <c r="B214" s="2"/>
      <c r="C214" s="2"/>
      <c r="D214" s="2"/>
      <c r="E214" s="2"/>
    </row>
    <row r="215" ht="14.25" customHeight="1">
      <c r="A215" s="2"/>
      <c r="B215" s="2"/>
      <c r="C215" s="2"/>
      <c r="D215" s="2"/>
      <c r="E215" s="2"/>
    </row>
    <row r="216" ht="14.25" customHeight="1">
      <c r="A216" s="2"/>
      <c r="B216" s="2"/>
      <c r="C216" s="2"/>
      <c r="D216" s="2"/>
      <c r="E216" s="2"/>
    </row>
    <row r="217" ht="14.25" customHeight="1">
      <c r="A217" s="2"/>
      <c r="B217" s="2"/>
      <c r="C217" s="2"/>
      <c r="D217" s="2"/>
      <c r="E217" s="2"/>
    </row>
    <row r="218" ht="14.25" customHeight="1">
      <c r="A218" s="2"/>
      <c r="B218" s="2"/>
      <c r="C218" s="2"/>
      <c r="D218" s="2"/>
      <c r="E218" s="2"/>
    </row>
    <row r="219" ht="14.25" customHeight="1">
      <c r="A219" s="2"/>
      <c r="B219" s="2"/>
      <c r="C219" s="2"/>
      <c r="D219" s="2"/>
      <c r="E219" s="2"/>
    </row>
    <row r="220" ht="14.25" customHeight="1">
      <c r="A220" s="2"/>
      <c r="B220" s="2"/>
      <c r="C220" s="2"/>
      <c r="D220" s="2"/>
      <c r="E220" s="2"/>
    </row>
    <row r="221" ht="14.25" customHeight="1">
      <c r="A221" s="2"/>
      <c r="B221" s="2"/>
      <c r="C221" s="2"/>
      <c r="D221" s="2"/>
      <c r="E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29"/>
    <col customWidth="1" min="2" max="2" width="19.0"/>
    <col customWidth="1" min="3" max="6" width="14.43"/>
    <col customWidth="1" min="8" max="8" width="49.86"/>
    <col customWidth="1" min="9" max="9" width="45.0"/>
  </cols>
  <sheetData>
    <row r="1" ht="15.0" customHeight="1">
      <c r="A1" s="34" t="s">
        <v>505</v>
      </c>
      <c r="B1" s="34" t="s">
        <v>555</v>
      </c>
      <c r="C1" s="35" t="s">
        <v>556</v>
      </c>
      <c r="D1" s="36"/>
      <c r="E1" s="36"/>
      <c r="F1" s="36"/>
      <c r="G1" s="37"/>
      <c r="H1" s="34" t="s">
        <v>557</v>
      </c>
      <c r="I1" s="34" t="s">
        <v>558</v>
      </c>
    </row>
    <row r="2" ht="15.0" customHeight="1">
      <c r="A2" s="38">
        <v>1.0</v>
      </c>
      <c r="B2" s="38" t="s">
        <v>559</v>
      </c>
      <c r="H2" s="38" t="s">
        <v>560</v>
      </c>
      <c r="I2" s="38" t="s">
        <v>561</v>
      </c>
    </row>
    <row r="3" ht="15.0" customHeight="1">
      <c r="H3" s="38" t="s">
        <v>562</v>
      </c>
      <c r="I3" s="24" t="inlineStr">
        <is>
          <t xml:space="preserve">Ronde 2 (9 Okt): Kode sudah benar sejak rilis lalu (diverifikasi di browser: teks tab hitam). Yang tampil di server adalah CSS lama dari cache Cloudflare/browser karena versi file tetap "?v=1". Kini semua CSS/JS diberi versi otomatis per perubahan; purge cache Cloudflare sekali setelah deploy.</t>
        </is>
      </c>
    </row>
    <row r="6">
      <c r="A6" s="39">
        <v>2.0</v>
      </c>
      <c r="B6" s="39" t="s">
        <v>563</v>
      </c>
      <c r="H6" s="39" t="s">
        <v>564</v>
      </c>
      <c r="I6" s="24" t="inlineStr">
        <is>
          <t xml:space="preserve">Ronde 2 (9 Okt): Diperbaiki: field Ethnic Group dan EEO Class dihapus dari form tambah &amp; ubah pegawai (nilai lama tetap tersimpan).</t>
        </is>
      </c>
    </row>
    <row r="14">
      <c r="A14" s="39">
        <v>3.0</v>
      </c>
      <c r="B14" s="39" t="s">
        <v>565</v>
      </c>
      <c r="H14" s="39" t="s">
        <v>566</v>
      </c>
      <c r="I14" s="24" t="inlineStr">
        <is>
          <t xml:space="preserve">Ronde 2 (9 Okt): Diperbaiki: tujuh booking type bawaan ditambahkan bila belum ada (Walk-in, Telepon / WhatsApp, Website Hotel, OTA (Traveloka, Tiket.com, dll.), Korporat, Travel Agent, Grup / Event) — migrasi 012. Tipe buatan hotel tidak diubah.</t>
        </is>
      </c>
    </row>
    <row r="20">
      <c r="A20" s="39">
        <v>4.0</v>
      </c>
      <c r="B20" s="39" t="s">
        <v>567</v>
      </c>
    </row>
    <row r="21">
      <c r="H21" s="39" t="s">
        <v>568</v>
      </c>
      <c r="I21" s="24" t="inlineStr">
        <is>
          <t xml:space="preserve">Ronde 2 (9 Okt): Diperbaiki: angka dashboard memakai format Indonesia; Total Amount kini "Rp 234,8 jt" (bukan "240.3m"), hitungan memakai titik ribuan.</t>
        </is>
      </c>
    </row>
    <row r="24">
      <c r="A24" s="39">
        <v>5.0</v>
      </c>
      <c r="B24" s="39" t="s">
        <v>569</v>
      </c>
      <c r="H24" s="39" t="s">
        <v>570</v>
      </c>
      <c r="I24" s="24" t="inlineStr">
        <is>
          <t xml:space="preserve">Ronde 2 (9 Okt): Diperbaiki: saat sidebar diciutkan, teks menu terpotong satu huruf, logo terpotong, avatar lonjong — kini hanya ikon + logo "E" + avatar bulat (teks muncul saat di-hover). Di ponsel sidebar yang dibuka tidak tertutup navbar.</t>
        </is>
      </c>
    </row>
    <row r="34" ht="15.75" customHeight="1"/>
    <row r="35" ht="15.0" customHeight="1"/>
    <row r="45" ht="15.0" customHeight="1"/>
    <row r="49" ht="15.75" customHeight="1"/>
    <row r="50" ht="15.75" customHeight="1">
      <c r="A50" s="39">
        <v>6.0</v>
      </c>
      <c r="B50" s="40" t="s">
        <v>571</v>
      </c>
      <c r="C50" s="41"/>
      <c r="D50" s="41"/>
      <c r="E50" s="41"/>
      <c r="F50" s="41"/>
      <c r="G50" s="41"/>
      <c r="H50" s="40" t="s">
        <v>572</v>
      </c>
      <c r="I50" s="41" t="inlineStr">
        <is>
          <t xml:space="preserve">Ronde 2 (9 Okt): Sebagian: baris tabel kini ringkas (tombol aksi tidak menumpuk), sidebar mode mini &amp; ponsel dirapikan. Mohon sebutkan halaman spesifik yang masih mepet/tumpang tindih (screenshot) agar bisa diperbaiki satu per satu.</t>
        </is>
      </c>
      <c r="J50" s="41"/>
    </row>
    <row r="51" ht="15.0" customHeight="1">
      <c r="A51" s="39">
        <v>7.0</v>
      </c>
      <c r="B51" s="40" t="s">
        <v>573</v>
      </c>
      <c r="C51" s="41"/>
      <c r="D51" s="41"/>
      <c r="E51" s="41"/>
      <c r="F51" s="41"/>
      <c r="G51" s="41"/>
      <c r="H51" s="40" t="s">
        <v>574</v>
      </c>
      <c r="I51" s="41" t="inlineStr">
        <is>
          <t xml:space="preserve">Menunggu keputusan: perlu file logo Mentawai/warna biru resmi (kode warna). Tema memakai variabel warna terpusat sehingga penggantian warna branding cukup di satu tempat.</t>
        </is>
      </c>
      <c r="J51" s="41"/>
    </row>
    <row r="52" ht="15.75" customHeight="1">
      <c r="H52" s="40" t="s">
        <v>575</v>
      </c>
      <c r="I52" s="41"/>
    </row>
    <row r="53" ht="15.75" customHeight="1"/>
    <row r="54" ht="15.75" customHeight="1">
      <c r="A54" s="39">
        <v>8.0</v>
      </c>
      <c r="B54" s="40" t="s">
        <v>571</v>
      </c>
      <c r="C54" s="41"/>
      <c r="D54" s="41"/>
      <c r="E54" s="41"/>
      <c r="F54" s="41"/>
      <c r="G54" s="41"/>
      <c r="H54" s="42" t="s">
        <v>576</v>
      </c>
      <c r="I54" s="24" t="inlineStr">
        <is>
          <t xml:space="preserve">Ronde 2 (9 Okt): Sebagian: petunjuk ditambahkan di halaman yang dilaporkan (Laundry, Item cost, Assign room cleaning, Table setup, Tax Management). Mohon daftar halaman/alur lain yang membingungkan untuk ditambahkan petunjuk serupa.</t>
        </is>
      </c>
    </row>
    <row r="55" ht="15.75" customHeight="1"/>
    <row r="56" ht="15.75" customHeight="1"/>
    <row r="57" ht="15.0" customHeight="1">
      <c r="A57" s="4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G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2026-10-07T14:32:00Z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4DE282097CAEB1CCA05EC86A58C74C73_43</vt:lpwstr>
  </property>
  <property fmtid="{D5CDD505-2E9C-101B-9397-08002B2CF9AE}" pid="3" name="KSOProductBuildVer">
    <vt:lpwstr>1033-12.1.28496.28496</vt:lpwstr>
  </property>
  <property fmtid="{D5CDD505-2E9C-101B-9397-08002B2CF9AE}" pid="4" name="CalculationRule">
    <vt:i4>0</vt:i4>
  </property>
</Properties>
</file>